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Bảng kế hoạch đặt hàng" sheetId="2" r:id="rId1"/>
    <sheet name="Quản lý Mua LK-Hàng hóa" sheetId="1" r:id="rId2"/>
    <sheet name="Bảng Cân đối vật tư đặt hàng" sheetId="3" r:id="rId3"/>
  </sheets>
  <definedNames>
    <definedName name="_xlnm._FilterDatabase" localSheetId="0" hidden="1">'Bảng kế hoạch đặt hàng'!$B$6:$Q$28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2" l="1"/>
  <c r="I9" i="2"/>
  <c r="J9" i="2" s="1"/>
  <c r="O12" i="1"/>
  <c r="Q12" i="1" s="1"/>
  <c r="M14" i="1"/>
  <c r="M11" i="1"/>
  <c r="M12" i="1"/>
  <c r="M13" i="1"/>
  <c r="M10" i="1"/>
  <c r="L11" i="1"/>
  <c r="O11" i="1" s="1"/>
  <c r="Q11" i="1" s="1"/>
  <c r="L12" i="1"/>
  <c r="L13" i="1"/>
  <c r="O13" i="1" s="1"/>
  <c r="Q13" i="1" s="1"/>
  <c r="L14" i="1"/>
  <c r="O14" i="1" s="1"/>
  <c r="Q14" i="1" s="1"/>
  <c r="L10" i="1"/>
  <c r="O10" i="1" s="1"/>
  <c r="Q10" i="1" s="1"/>
  <c r="N10" i="2"/>
  <c r="N11" i="2"/>
  <c r="J11" i="2"/>
  <c r="J10" i="2"/>
  <c r="I10" i="2"/>
  <c r="I11" i="2"/>
  <c r="N8" i="2"/>
  <c r="I8" i="2"/>
  <c r="J8" i="2" s="1"/>
</calcChain>
</file>

<file path=xl/comments1.xml><?xml version="1.0" encoding="utf-8"?>
<comments xmlns="http://schemas.openxmlformats.org/spreadsheetml/2006/main">
  <authors>
    <author>Author</author>
  </authors>
  <commentList>
    <comment ref="M6" authorId="0" shapeId="0">
      <text>
        <r>
          <rPr>
            <sz val="9"/>
            <color indexed="81"/>
            <rFont val="Tahoma"/>
            <family val="2"/>
          </rPr>
          <t>Ngày trả Chậm sẽ báo đỏ " ô Ngày giao" nếu ghi ngày giao sẽ hết đỏ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Q8" authorId="0" shapeId="0">
      <text>
        <r>
          <rPr>
            <sz val="9"/>
            <color indexed="81"/>
            <rFont val="Tahoma"/>
            <family val="2"/>
          </rPr>
          <t xml:space="preserve">Admin duyệt mới sửa xóa được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X9" authorId="0" shapeId="0">
      <text>
        <r>
          <rPr>
            <sz val="9"/>
            <color indexed="81"/>
            <rFont val="Tahoma"/>
            <family val="2"/>
          </rPr>
          <t>- Về chậm trước 1 Tuần
Báo "VÀNG"
- Về chậm hơn Ngày cần Báo "ĐỎ"
- VỀ Trước ngày báo " XANH"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 xml:space="preserve">Nếu nhập trùng Tên ( Mã linh kiện ) ==&gt; Phần mềm check và báo 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F5" authorId="0" shapeId="0">
      <text>
        <r>
          <rPr>
            <sz val="9"/>
            <color indexed="81"/>
            <rFont val="Tahoma"/>
            <family val="2"/>
          </rPr>
          <t>- Số liệu này sẽ nhảy vào tồn kho</t>
        </r>
      </text>
    </comment>
  </commentList>
</comments>
</file>

<file path=xl/sharedStrings.xml><?xml version="1.0" encoding="utf-8"?>
<sst xmlns="http://schemas.openxmlformats.org/spreadsheetml/2006/main" count="107" uniqueCount="72">
  <si>
    <t>TT</t>
  </si>
  <si>
    <t>Tên Linh kiện</t>
  </si>
  <si>
    <t>Mã kinh kiện</t>
  </si>
  <si>
    <t>Mã sản phẩm</t>
  </si>
  <si>
    <t>6S</t>
  </si>
  <si>
    <t>8S</t>
  </si>
  <si>
    <t>…..</t>
  </si>
  <si>
    <t>Vật liệu</t>
  </si>
  <si>
    <t>Quy cách LK/phôi
(KTx Độ dày-mm)</t>
  </si>
  <si>
    <t>Màu sắc</t>
  </si>
  <si>
    <t>Đặc điểm nhận dạng/ Hình ảnh</t>
  </si>
  <si>
    <t>Tên sản phẩm</t>
  </si>
  <si>
    <t>Ngày/Tháng đặt hàng</t>
  </si>
  <si>
    <t>Số lượng đặt hàng</t>
  </si>
  <si>
    <t>Khách hàng</t>
  </si>
  <si>
    <t>VAT</t>
  </si>
  <si>
    <t>%</t>
  </si>
  <si>
    <t>Còn lại</t>
  </si>
  <si>
    <t>Edit</t>
  </si>
  <si>
    <t>Đơn giá VNĐ</t>
  </si>
  <si>
    <t>Ngày giao</t>
  </si>
  <si>
    <t>Số lượng Đã giao</t>
  </si>
  <si>
    <t>KẾ HOẠCH KHÁCH ĐẶT SẢN XUẤT</t>
  </si>
  <si>
    <t>Ghi chú</t>
  </si>
  <si>
    <t>Máy ion kiềm Geyser</t>
  </si>
  <si>
    <t>6S Plus</t>
  </si>
  <si>
    <t>25/3/2026</t>
  </si>
  <si>
    <t>26/3/2026</t>
  </si>
  <si>
    <t>A Huynh</t>
  </si>
  <si>
    <t>Sửa/Xóa</t>
  </si>
  <si>
    <t>Tổng Tiền
VNĐ</t>
  </si>
  <si>
    <t>Tiền VAT VNĐ</t>
  </si>
  <si>
    <t>Máy ion kiềm Fujiion</t>
  </si>
  <si>
    <t>TM2503</t>
  </si>
  <si>
    <t>TM2505</t>
  </si>
  <si>
    <t>27/3/2026</t>
  </si>
  <si>
    <t>A Hùng TM</t>
  </si>
  <si>
    <t xml:space="preserve">BẢNG BOM </t>
  </si>
  <si>
    <t>MÃ SP</t>
  </si>
  <si>
    <t>SỐ LƯỢNG ĐẶT HÀNG</t>
  </si>
  <si>
    <t>TÊN SP</t>
  </si>
  <si>
    <t>6S PLUS</t>
  </si>
  <si>
    <t>Tổng SL LK Cần đặt theo kế hoạch</t>
  </si>
  <si>
    <t>Tồn kho</t>
  </si>
  <si>
    <t>SL Thiếu Cần Đặt</t>
  </si>
  <si>
    <t>Vỏ nhựa Máy ion kiềm XSH màu trắng Dùng Chung/Chân nhưa / Part gá vòi</t>
  </si>
  <si>
    <t>XSH-NH1001</t>
  </si>
  <si>
    <t>Vỏ nhựa Máy ion kiềm XSH màu ghi xám Dùng Chung/Chân nhưa / Part gá vòi</t>
  </si>
  <si>
    <t>XSH-NH1002</t>
  </si>
  <si>
    <t>Sơ vỏ nhựa Dùng chung màu Ghi</t>
  </si>
  <si>
    <t>XSH-SO2002</t>
  </si>
  <si>
    <t>Part INOX Gá Điện cực OEM</t>
  </si>
  <si>
    <t>XSH-IN2001</t>
  </si>
  <si>
    <t>Part INOX 304 Gá Mạch điện OEM</t>
  </si>
  <si>
    <t>XSH-IN2002</t>
  </si>
  <si>
    <t>Tiêu chuẩn LK</t>
  </si>
  <si>
    <t>Hợp đồng</t>
  </si>
  <si>
    <t>Thanh toán</t>
  </si>
  <si>
    <t>Ngày đặt hàng</t>
  </si>
  <si>
    <t>Ngày lk cần về</t>
  </si>
  <si>
    <t>Ngày trả hàng</t>
  </si>
  <si>
    <t>P.I.C</t>
  </si>
  <si>
    <t>Tình Trạng</t>
  </si>
  <si>
    <t>TỔNG LINH KIỆN CẦN ĐẶT</t>
  </si>
  <si>
    <t>Số lượng LK / 1 Sản Phẩm</t>
  </si>
  <si>
    <t>Ngày phải trả hàng</t>
  </si>
  <si>
    <t>MÁY ION KIỀM NANOGEYSER</t>
  </si>
  <si>
    <t>BẢNG DANH MỤC LINH KIỆN CÔNG TY</t>
  </si>
  <si>
    <t>15/4</t>
  </si>
  <si>
    <t>20/4</t>
  </si>
  <si>
    <t>Số lượng về thực tế</t>
  </si>
  <si>
    <t>SL Thừa-Thiếu trong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</si>
</sst>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8"/>
      <name val="Times New Roman"/>
      <family val="1"/>
    </font>
    <font>
      <sz val="20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  <font>
      <sz val="11"/>
      <color rgb="FF9C0006"/>
      <name val="Times New Roman"/>
      <family val="1"/>
    </font>
    <font>
      <b/>
      <sz val="14"/>
      <color theme="1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99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auto="1"/>
      </bottom>
      <diagonal/>
    </border>
    <border>
      <left/>
      <right/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 style="thin">
        <color theme="1" tint="4.9989318521683403E-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4.9989318521683403E-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4.9989318521683403E-2"/>
      </left>
      <right/>
      <top style="thin">
        <color theme="0" tint="-0.34998626667073579"/>
      </top>
      <bottom style="thin">
        <color auto="1"/>
      </bottom>
      <diagonal/>
    </border>
    <border>
      <left style="thin">
        <color indexed="64"/>
      </left>
      <right style="thin">
        <color theme="1" tint="4.9989318521683403E-2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theme="0" tint="-0.34998626667073579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theme="0" tint="-0.34998626667073579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theme="0" tint="-0.34998626667073579"/>
      </bottom>
      <diagonal/>
    </border>
    <border>
      <left style="thin">
        <color auto="1"/>
      </left>
      <right style="hair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auto="1"/>
      </left>
      <right style="hair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hair">
        <color auto="1"/>
      </right>
      <top style="thin">
        <color theme="0" tint="-0.34998626667073579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theme="0" tint="-0.34998626667073579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theme="0" tint="-0.34998626667073579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 style="thin">
        <color indexed="64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/>
      <diagonal/>
    </border>
    <border>
      <left style="thick">
        <color indexed="64"/>
      </left>
      <right/>
      <top style="thin">
        <color indexed="64"/>
      </top>
      <bottom style="hair">
        <color theme="0" tint="-0.34998626667073579"/>
      </bottom>
      <diagonal/>
    </border>
    <border>
      <left style="thick">
        <color indexed="64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ck">
        <color indexed="64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thick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indexed="64"/>
      </left>
      <right style="thin">
        <color indexed="64"/>
      </right>
      <top style="thin">
        <color theme="0" tint="-0.34998626667073579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ck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34998626667073579"/>
      </top>
      <bottom style="thick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34998626667073579"/>
      </top>
      <bottom style="thick">
        <color indexed="64"/>
      </bottom>
      <diagonal/>
    </border>
    <border>
      <left style="thin">
        <color auto="1"/>
      </left>
      <right/>
      <top style="thick">
        <color indexed="64"/>
      </top>
      <bottom/>
      <diagonal/>
    </border>
    <border>
      <left style="thin">
        <color indexed="64"/>
      </left>
      <right/>
      <top style="thin">
        <color theme="0" tint="-0.34998626667073579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hair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hair">
        <color theme="0" tint="-0.34998626667073579"/>
      </bottom>
      <diagonal/>
    </border>
    <border>
      <left style="medium">
        <color indexed="64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medium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hair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auto="1"/>
      </right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auto="1"/>
      </left>
      <right style="thin">
        <color theme="1" tint="4.9989318521683403E-2"/>
      </right>
      <top style="thin">
        <color theme="0" tint="-0.34998626667073579"/>
      </top>
      <bottom/>
      <diagonal/>
    </border>
    <border>
      <left style="thin">
        <color auto="1"/>
      </left>
      <right style="thin">
        <color theme="1" tint="4.9989318521683403E-2"/>
      </right>
      <top/>
      <bottom/>
      <diagonal/>
    </border>
    <border>
      <left style="thin">
        <color auto="1"/>
      </left>
      <right style="thin">
        <color theme="1" tint="4.9989318521683403E-2"/>
      </right>
      <top/>
      <bottom style="thin">
        <color theme="0" tint="-0.34998626667073579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05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4" fillId="4" borderId="0" xfId="0" applyFont="1" applyFill="1" applyAlignment="1">
      <alignment horizontal="left"/>
    </xf>
    <xf numFmtId="0" fontId="5" fillId="4" borderId="0" xfId="0" applyFont="1" applyFill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5" fillId="0" borderId="14" xfId="1" applyNumberFormat="1" applyFont="1" applyBorder="1" applyAlignment="1">
      <alignment vertical="center"/>
    </xf>
    <xf numFmtId="9" fontId="5" fillId="0" borderId="14" xfId="2" applyFont="1" applyBorder="1" applyAlignment="1">
      <alignment horizontal="center" vertical="center"/>
    </xf>
    <xf numFmtId="164" fontId="5" fillId="0" borderId="14" xfId="1" applyNumberFormat="1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left" vertical="center" wrapText="1"/>
    </xf>
    <xf numFmtId="1" fontId="12" fillId="4" borderId="18" xfId="0" applyNumberFormat="1" applyFont="1" applyFill="1" applyBorder="1" applyAlignment="1">
      <alignment horizontal="center" vertical="center"/>
    </xf>
    <xf numFmtId="0" fontId="5" fillId="0" borderId="12" xfId="0" applyFont="1" applyBorder="1"/>
    <xf numFmtId="1" fontId="8" fillId="4" borderId="19" xfId="0" applyNumberFormat="1" applyFont="1" applyFill="1" applyBorder="1" applyAlignment="1">
      <alignment horizontal="center" vertical="center" wrapText="1"/>
    </xf>
    <xf numFmtId="1" fontId="8" fillId="4" borderId="19" xfId="0" applyNumberFormat="1" applyFont="1" applyFill="1" applyBorder="1" applyAlignment="1">
      <alignment horizontal="left" vertical="center" wrapText="1"/>
    </xf>
    <xf numFmtId="1" fontId="8" fillId="4" borderId="19" xfId="0" applyNumberFormat="1" applyFont="1" applyFill="1" applyBorder="1" applyAlignment="1">
      <alignment horizontal="center" vertical="center"/>
    </xf>
    <xf numFmtId="0" fontId="5" fillId="0" borderId="14" xfId="0" applyFont="1" applyBorder="1"/>
    <xf numFmtId="1" fontId="5" fillId="4" borderId="19" xfId="0" applyNumberFormat="1" applyFont="1" applyFill="1" applyBorder="1" applyAlignment="1">
      <alignment horizontal="center" vertical="center" wrapText="1"/>
    </xf>
    <xf numFmtId="1" fontId="5" fillId="4" borderId="19" xfId="0" applyNumberFormat="1" applyFont="1" applyFill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/>
    <xf numFmtId="1" fontId="5" fillId="4" borderId="22" xfId="0" applyNumberFormat="1" applyFont="1" applyFill="1" applyBorder="1" applyAlignment="1">
      <alignment horizontal="left" vertical="center" wrapText="1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1" fontId="8" fillId="4" borderId="23" xfId="0" applyNumberFormat="1" applyFont="1" applyFill="1" applyBorder="1" applyAlignment="1">
      <alignment horizontal="center" vertical="center"/>
    </xf>
    <xf numFmtId="1" fontId="5" fillId="4" borderId="13" xfId="0" applyNumberFormat="1" applyFont="1" applyFill="1" applyBorder="1" applyAlignment="1">
      <alignment horizontal="center" vertical="center" wrapText="1"/>
    </xf>
    <xf numFmtId="0" fontId="5" fillId="0" borderId="22" xfId="0" applyFont="1" applyBorder="1"/>
    <xf numFmtId="0" fontId="5" fillId="0" borderId="25" xfId="0" applyFont="1" applyBorder="1"/>
    <xf numFmtId="1" fontId="8" fillId="4" borderId="13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31" xfId="0" applyFont="1" applyBorder="1"/>
    <xf numFmtId="0" fontId="5" fillId="0" borderId="32" xfId="0" applyFont="1" applyBorder="1" applyAlignment="1">
      <alignment horizontal="center"/>
    </xf>
    <xf numFmtId="0" fontId="5" fillId="0" borderId="33" xfId="0" applyFont="1" applyBorder="1"/>
    <xf numFmtId="0" fontId="5" fillId="0" borderId="34" xfId="0" applyFont="1" applyBorder="1"/>
    <xf numFmtId="0" fontId="5" fillId="0" borderId="35" xfId="0" applyFont="1" applyBorder="1" applyAlignment="1">
      <alignment horizontal="center"/>
    </xf>
    <xf numFmtId="0" fontId="5" fillId="0" borderId="36" xfId="0" applyFont="1" applyBorder="1"/>
    <xf numFmtId="0" fontId="5" fillId="0" borderId="37" xfId="0" applyFont="1" applyBorder="1"/>
    <xf numFmtId="0" fontId="5" fillId="0" borderId="29" xfId="0" applyFont="1" applyBorder="1"/>
    <xf numFmtId="0" fontId="5" fillId="0" borderId="32" xfId="0" applyFont="1" applyBorder="1"/>
    <xf numFmtId="0" fontId="5" fillId="0" borderId="35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15" xfId="0" applyFont="1" applyBorder="1"/>
    <xf numFmtId="0" fontId="13" fillId="4" borderId="45" xfId="3" applyFont="1" applyFill="1" applyBorder="1" applyAlignment="1" applyProtection="1">
      <alignment horizontal="center" vertical="center" wrapText="1" readingOrder="1"/>
      <protection locked="0"/>
    </xf>
    <xf numFmtId="0" fontId="5" fillId="4" borderId="46" xfId="3" applyFont="1" applyFill="1" applyBorder="1" applyAlignment="1" applyProtection="1">
      <alignment horizontal="center" vertical="center" wrapText="1" readingOrder="1"/>
      <protection locked="0"/>
    </xf>
    <xf numFmtId="0" fontId="5" fillId="0" borderId="47" xfId="0" applyFont="1" applyBorder="1"/>
    <xf numFmtId="0" fontId="5" fillId="0" borderId="48" xfId="0" applyFont="1" applyBorder="1"/>
    <xf numFmtId="0" fontId="5" fillId="0" borderId="49" xfId="0" applyFont="1" applyBorder="1"/>
    <xf numFmtId="0" fontId="5" fillId="0" borderId="50" xfId="0" applyFont="1" applyBorder="1"/>
    <xf numFmtId="0" fontId="5" fillId="0" borderId="51" xfId="0" applyFont="1" applyBorder="1"/>
    <xf numFmtId="0" fontId="5" fillId="0" borderId="52" xfId="0" applyFont="1" applyBorder="1"/>
    <xf numFmtId="0" fontId="5" fillId="4" borderId="39" xfId="0" applyFont="1" applyFill="1" applyBorder="1" applyAlignment="1">
      <alignment horizontal="center" vertical="center" wrapText="1" readingOrder="1"/>
    </xf>
    <xf numFmtId="16" fontId="5" fillId="4" borderId="53" xfId="0" applyNumberFormat="1" applyFont="1" applyFill="1" applyBorder="1" applyAlignment="1">
      <alignment horizontal="center" vertical="center" wrapText="1" readingOrder="1"/>
    </xf>
    <xf numFmtId="0" fontId="5" fillId="0" borderId="2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1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14" fillId="4" borderId="0" xfId="0" applyFont="1" applyFill="1" applyBorder="1"/>
    <xf numFmtId="0" fontId="5" fillId="4" borderId="0" xfId="0" applyFont="1" applyFill="1" applyBorder="1"/>
    <xf numFmtId="0" fontId="5" fillId="4" borderId="0" xfId="0" applyFont="1" applyFill="1" applyBorder="1" applyAlignment="1"/>
    <xf numFmtId="14" fontId="5" fillId="0" borderId="55" xfId="0" applyNumberFormat="1" applyFont="1" applyBorder="1" applyAlignment="1">
      <alignment horizontal="center" vertical="center"/>
    </xf>
    <xf numFmtId="0" fontId="5" fillId="0" borderId="55" xfId="0" applyFont="1" applyBorder="1" applyAlignment="1">
      <alignment vertical="center"/>
    </xf>
    <xf numFmtId="164" fontId="5" fillId="0" borderId="55" xfId="1" applyNumberFormat="1" applyFont="1" applyBorder="1" applyAlignment="1">
      <alignment vertical="center"/>
    </xf>
    <xf numFmtId="9" fontId="5" fillId="0" borderId="55" xfId="0" applyNumberFormat="1" applyFont="1" applyBorder="1" applyAlignment="1">
      <alignment horizontal="center" vertical="center"/>
    </xf>
    <xf numFmtId="164" fontId="5" fillId="0" borderId="55" xfId="0" applyNumberFormat="1" applyFont="1" applyBorder="1" applyAlignment="1">
      <alignment horizontal="center" vertical="center"/>
    </xf>
    <xf numFmtId="164" fontId="5" fillId="0" borderId="55" xfId="0" applyNumberFormat="1" applyFont="1" applyBorder="1" applyAlignment="1">
      <alignment vertical="center"/>
    </xf>
    <xf numFmtId="0" fontId="5" fillId="0" borderId="55" xfId="0" applyFont="1" applyBorder="1" applyAlignment="1">
      <alignment horizontal="center" vertical="center"/>
    </xf>
    <xf numFmtId="14" fontId="5" fillId="0" borderId="56" xfId="0" applyNumberFormat="1" applyFont="1" applyBorder="1" applyAlignment="1">
      <alignment horizontal="center" vertical="center"/>
    </xf>
    <xf numFmtId="0" fontId="5" fillId="0" borderId="56" xfId="0" applyFont="1" applyBorder="1" applyAlignment="1">
      <alignment vertical="center"/>
    </xf>
    <xf numFmtId="164" fontId="5" fillId="0" borderId="56" xfId="1" applyNumberFormat="1" applyFont="1" applyBorder="1" applyAlignment="1">
      <alignment vertical="center"/>
    </xf>
    <xf numFmtId="9" fontId="5" fillId="0" borderId="56" xfId="0" applyNumberFormat="1" applyFont="1" applyBorder="1" applyAlignment="1">
      <alignment horizontal="center" vertical="center"/>
    </xf>
    <xf numFmtId="164" fontId="5" fillId="0" borderId="56" xfId="0" applyNumberFormat="1" applyFont="1" applyBorder="1" applyAlignment="1">
      <alignment horizontal="center" vertical="center"/>
    </xf>
    <xf numFmtId="164" fontId="5" fillId="0" borderId="56" xfId="0" applyNumberFormat="1" applyFont="1" applyBorder="1" applyAlignment="1">
      <alignment vertical="center"/>
    </xf>
    <xf numFmtId="0" fontId="5" fillId="0" borderId="56" xfId="0" applyFont="1" applyBorder="1" applyAlignment="1">
      <alignment horizontal="center" vertical="center"/>
    </xf>
    <xf numFmtId="9" fontId="5" fillId="0" borderId="56" xfId="2" applyFont="1" applyBorder="1" applyAlignment="1">
      <alignment horizontal="center" vertical="center"/>
    </xf>
    <xf numFmtId="164" fontId="5" fillId="0" borderId="56" xfId="1" applyNumberFormat="1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7" xfId="0" applyFont="1" applyBorder="1" applyAlignment="1">
      <alignment vertical="center"/>
    </xf>
    <xf numFmtId="164" fontId="5" fillId="0" borderId="57" xfId="1" applyNumberFormat="1" applyFont="1" applyBorder="1" applyAlignment="1">
      <alignment vertical="center"/>
    </xf>
    <xf numFmtId="9" fontId="5" fillId="0" borderId="57" xfId="2" applyFont="1" applyBorder="1" applyAlignment="1">
      <alignment horizontal="center" vertical="center"/>
    </xf>
    <xf numFmtId="164" fontId="5" fillId="0" borderId="57" xfId="1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6" fontId="5" fillId="4" borderId="1" xfId="0" applyNumberFormat="1" applyFont="1" applyFill="1" applyBorder="1" applyAlignment="1">
      <alignment horizontal="center" vertical="center" wrapText="1"/>
    </xf>
    <xf numFmtId="1" fontId="5" fillId="4" borderId="58" xfId="0" applyNumberFormat="1" applyFont="1" applyFill="1" applyBorder="1" applyAlignment="1">
      <alignment horizontal="center" vertical="center" wrapText="1"/>
    </xf>
    <xf numFmtId="1" fontId="5" fillId="4" borderId="58" xfId="0" applyNumberFormat="1" applyFont="1" applyFill="1" applyBorder="1" applyAlignment="1">
      <alignment horizontal="left" vertical="center" wrapText="1"/>
    </xf>
    <xf numFmtId="0" fontId="13" fillId="4" borderId="60" xfId="3" applyFont="1" applyFill="1" applyBorder="1" applyAlignment="1" applyProtection="1">
      <alignment horizontal="center" vertical="center" wrapText="1" readingOrder="1"/>
      <protection locked="0"/>
    </xf>
    <xf numFmtId="0" fontId="5" fillId="4" borderId="61" xfId="3" applyFont="1" applyFill="1" applyBorder="1" applyAlignment="1" applyProtection="1">
      <alignment horizontal="center" vertical="center" wrapText="1" readingOrder="1"/>
      <protection locked="0"/>
    </xf>
    <xf numFmtId="1" fontId="12" fillId="4" borderId="54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15" fillId="5" borderId="1" xfId="0" applyFont="1" applyFill="1" applyBorder="1" applyAlignment="1">
      <alignment horizontal="center" vertical="center" wrapText="1"/>
    </xf>
    <xf numFmtId="16" fontId="15" fillId="5" borderId="1" xfId="0" applyNumberFormat="1" applyFont="1" applyFill="1" applyBorder="1" applyAlignment="1">
      <alignment horizontal="center" vertical="center" wrapText="1"/>
    </xf>
    <xf numFmtId="0" fontId="17" fillId="4" borderId="0" xfId="0" applyFont="1" applyFill="1"/>
    <xf numFmtId="0" fontId="16" fillId="10" borderId="1" xfId="0" applyFont="1" applyFill="1" applyBorder="1" applyAlignment="1">
      <alignment horizontal="center" vertical="center"/>
    </xf>
    <xf numFmtId="0" fontId="7" fillId="10" borderId="55" xfId="0" applyFont="1" applyFill="1" applyBorder="1" applyAlignment="1">
      <alignment horizontal="center" vertical="center"/>
    </xf>
    <xf numFmtId="0" fontId="7" fillId="10" borderId="56" xfId="0" applyFont="1" applyFill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70" xfId="0" applyFont="1" applyBorder="1" applyAlignment="1">
      <alignment vertical="center"/>
    </xf>
    <xf numFmtId="0" fontId="5" fillId="0" borderId="71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74" xfId="0" applyFont="1" applyBorder="1" applyAlignment="1">
      <alignment vertical="center"/>
    </xf>
    <xf numFmtId="0" fontId="5" fillId="0" borderId="81" xfId="0" applyFont="1" applyBorder="1" applyAlignment="1">
      <alignment horizontal="center" vertical="center"/>
    </xf>
    <xf numFmtId="0" fontId="5" fillId="0" borderId="82" xfId="0" applyFont="1" applyBorder="1" applyAlignment="1">
      <alignment vertical="center"/>
    </xf>
    <xf numFmtId="0" fontId="5" fillId="0" borderId="83" xfId="0" applyFont="1" applyBorder="1" applyAlignment="1">
      <alignment horizontal="center" vertical="center"/>
    </xf>
    <xf numFmtId="0" fontId="5" fillId="0" borderId="84" xfId="0" applyFont="1" applyBorder="1" applyAlignment="1">
      <alignment vertical="center"/>
    </xf>
    <xf numFmtId="164" fontId="5" fillId="0" borderId="83" xfId="1" applyNumberFormat="1" applyFont="1" applyBorder="1" applyAlignment="1">
      <alignment horizontal="center" vertical="center"/>
    </xf>
    <xf numFmtId="164" fontId="5" fillId="0" borderId="84" xfId="1" applyNumberFormat="1" applyFont="1" applyBorder="1" applyAlignment="1">
      <alignment vertical="center"/>
    </xf>
    <xf numFmtId="164" fontId="5" fillId="0" borderId="85" xfId="1" applyNumberFormat="1" applyFont="1" applyBorder="1" applyAlignment="1">
      <alignment horizontal="center" vertical="center"/>
    </xf>
    <xf numFmtId="164" fontId="5" fillId="0" borderId="86" xfId="1" applyNumberFormat="1" applyFont="1" applyBorder="1" applyAlignment="1">
      <alignment vertical="center"/>
    </xf>
    <xf numFmtId="164" fontId="5" fillId="0" borderId="87" xfId="1" applyNumberFormat="1" applyFont="1" applyBorder="1" applyAlignment="1">
      <alignment horizontal="center" vertical="center"/>
    </xf>
    <xf numFmtId="164" fontId="5" fillId="0" borderId="88" xfId="1" applyNumberFormat="1" applyFont="1" applyBorder="1" applyAlignment="1">
      <alignment vertical="center"/>
    </xf>
    <xf numFmtId="0" fontId="5" fillId="0" borderId="87" xfId="0" applyFont="1" applyBorder="1" applyAlignment="1">
      <alignment horizontal="center" vertical="center"/>
    </xf>
    <xf numFmtId="0" fontId="5" fillId="0" borderId="88" xfId="0" applyFont="1" applyBorder="1" applyAlignment="1">
      <alignment vertical="center"/>
    </xf>
    <xf numFmtId="0" fontId="5" fillId="0" borderId="89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5" fillId="0" borderId="90" xfId="0" applyFont="1" applyBorder="1" applyAlignment="1">
      <alignment vertical="center"/>
    </xf>
    <xf numFmtId="0" fontId="5" fillId="0" borderId="91" xfId="0" applyFont="1" applyBorder="1" applyAlignment="1">
      <alignment vertical="center"/>
    </xf>
    <xf numFmtId="0" fontId="5" fillId="4" borderId="92" xfId="0" applyFont="1" applyFill="1" applyBorder="1" applyAlignment="1">
      <alignment horizontal="left"/>
    </xf>
    <xf numFmtId="0" fontId="5" fillId="4" borderId="93" xfId="0" applyFont="1" applyFill="1" applyBorder="1"/>
    <xf numFmtId="0" fontId="5" fillId="4" borderId="94" xfId="0" applyFont="1" applyFill="1" applyBorder="1"/>
    <xf numFmtId="0" fontId="7" fillId="3" borderId="77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3" borderId="78" xfId="0" applyFont="1" applyFill="1" applyBorder="1" applyAlignment="1">
      <alignment horizontal="center" vertical="center" wrapText="1"/>
    </xf>
    <xf numFmtId="0" fontId="5" fillId="3" borderId="80" xfId="0" applyFont="1" applyFill="1" applyBorder="1" applyAlignment="1">
      <alignment horizontal="center" vertical="center" wrapText="1"/>
    </xf>
    <xf numFmtId="0" fontId="5" fillId="3" borderId="62" xfId="0" applyFont="1" applyFill="1" applyBorder="1" applyAlignment="1">
      <alignment horizontal="center" vertical="center" wrapText="1"/>
    </xf>
    <xf numFmtId="0" fontId="5" fillId="3" borderId="64" xfId="0" applyFont="1" applyFill="1" applyBorder="1" applyAlignment="1">
      <alignment horizontal="center" vertical="center" wrapText="1"/>
    </xf>
    <xf numFmtId="0" fontId="5" fillId="3" borderId="7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73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3" borderId="7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5" fillId="3" borderId="63" xfId="0" applyFont="1" applyFill="1" applyBorder="1" applyAlignment="1">
      <alignment horizontal="center" vertical="center" wrapText="1"/>
    </xf>
    <xf numFmtId="0" fontId="7" fillId="3" borderId="63" xfId="0" applyFont="1" applyFill="1" applyBorder="1" applyAlignment="1">
      <alignment horizontal="center" vertical="center" wrapText="1"/>
    </xf>
    <xf numFmtId="0" fontId="7" fillId="3" borderId="75" xfId="0" applyFont="1" applyFill="1" applyBorder="1" applyAlignment="1">
      <alignment horizontal="center" vertical="center" wrapText="1"/>
    </xf>
    <xf numFmtId="0" fontId="7" fillId="3" borderId="79" xfId="0" applyFont="1" applyFill="1" applyBorder="1" applyAlignment="1">
      <alignment horizontal="center" vertical="center" wrapText="1"/>
    </xf>
    <xf numFmtId="0" fontId="6" fillId="3" borderId="63" xfId="0" applyFont="1" applyFill="1" applyBorder="1" applyAlignment="1">
      <alignment horizontal="center" vertical="center" wrapText="1"/>
    </xf>
    <xf numFmtId="0" fontId="13" fillId="4" borderId="6" xfId="3" applyFont="1" applyFill="1" applyBorder="1" applyAlignment="1" applyProtection="1">
      <alignment horizontal="center" vertical="center" wrapText="1" readingOrder="1"/>
      <protection locked="0"/>
    </xf>
    <xf numFmtId="0" fontId="13" fillId="4" borderId="38" xfId="3" applyFont="1" applyFill="1" applyBorder="1" applyAlignment="1" applyProtection="1">
      <alignment horizontal="center" vertical="center" wrapText="1" readingOrder="1"/>
      <protection locked="0"/>
    </xf>
    <xf numFmtId="0" fontId="13" fillId="4" borderId="2" xfId="3" applyFont="1" applyFill="1" applyBorder="1" applyAlignment="1" applyProtection="1">
      <alignment horizontal="center" vertical="center" wrapText="1" readingOrder="1"/>
      <protection locked="0"/>
    </xf>
    <xf numFmtId="0" fontId="13" fillId="4" borderId="4" xfId="3" applyFont="1" applyFill="1" applyBorder="1" applyAlignment="1" applyProtection="1">
      <alignment horizontal="center" vertical="center" wrapText="1" readingOrder="1"/>
      <protection locked="0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6" fillId="4" borderId="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1" fillId="5" borderId="6" xfId="0" applyFont="1" applyFill="1" applyBorder="1" applyAlignment="1" applyProtection="1">
      <alignment horizontal="center" vertical="center" wrapText="1" readingOrder="1"/>
      <protection locked="0"/>
    </xf>
    <xf numFmtId="0" fontId="11" fillId="5" borderId="38" xfId="0" applyFont="1" applyFill="1" applyBorder="1" applyAlignment="1" applyProtection="1">
      <alignment horizontal="center" vertical="center" wrapText="1" readingOrder="1"/>
      <protection locked="0"/>
    </xf>
    <xf numFmtId="0" fontId="11" fillId="6" borderId="2" xfId="0" applyFont="1" applyFill="1" applyBorder="1" applyAlignment="1" applyProtection="1">
      <alignment horizontal="center" vertical="center" wrapText="1" readingOrder="1"/>
      <protection locked="0"/>
    </xf>
    <xf numFmtId="0" fontId="11" fillId="6" borderId="4" xfId="0" applyFont="1" applyFill="1" applyBorder="1" applyAlignment="1" applyProtection="1">
      <alignment horizontal="center" vertical="center" wrapText="1" readingOrder="1"/>
      <protection locked="0"/>
    </xf>
    <xf numFmtId="0" fontId="3" fillId="7" borderId="2" xfId="0" applyFont="1" applyFill="1" applyBorder="1" applyAlignment="1" applyProtection="1">
      <alignment horizontal="center" vertical="center" wrapText="1" readingOrder="1"/>
      <protection locked="0"/>
    </xf>
    <xf numFmtId="0" fontId="3" fillId="7" borderId="4" xfId="0" applyFont="1" applyFill="1" applyBorder="1" applyAlignment="1" applyProtection="1">
      <alignment horizontal="center" vertical="center" wrapText="1" readingOrder="1"/>
      <protection locked="0"/>
    </xf>
    <xf numFmtId="0" fontId="6" fillId="0" borderId="16" xfId="0" applyFont="1" applyFill="1" applyBorder="1" applyAlignment="1" applyProtection="1">
      <alignment horizontal="center" vertical="center" wrapText="1" readingOrder="1"/>
      <protection locked="0"/>
    </xf>
    <xf numFmtId="0" fontId="6" fillId="0" borderId="42" xfId="0" applyFont="1" applyFill="1" applyBorder="1" applyAlignment="1" applyProtection="1">
      <alignment horizontal="center" vertical="center" wrapText="1" readingOrder="1"/>
      <protection locked="0"/>
    </xf>
    <xf numFmtId="0" fontId="13" fillId="4" borderId="43" xfId="3" applyFont="1" applyFill="1" applyBorder="1" applyAlignment="1" applyProtection="1">
      <alignment horizontal="center" vertical="center" wrapText="1" readingOrder="1"/>
      <protection locked="0"/>
    </xf>
    <xf numFmtId="0" fontId="13" fillId="4" borderId="44" xfId="3" applyFont="1" applyFill="1" applyBorder="1" applyAlignment="1" applyProtection="1">
      <alignment horizontal="center" vertical="center" wrapText="1" readingOrder="1"/>
      <protection locked="0"/>
    </xf>
    <xf numFmtId="0" fontId="5" fillId="8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 readingOrder="1"/>
      <protection locked="0"/>
    </xf>
    <xf numFmtId="0" fontId="3" fillId="0" borderId="2" xfId="0" applyFont="1" applyFill="1" applyBorder="1" applyAlignment="1" applyProtection="1">
      <alignment horizontal="center" vertical="center" wrapText="1" readingOrder="1"/>
      <protection locked="0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13" fillId="4" borderId="7" xfId="3" applyFont="1" applyFill="1" applyBorder="1" applyAlignment="1" applyProtection="1">
      <alignment horizontal="center" vertical="center" wrapText="1" readingOrder="1"/>
      <protection locked="0"/>
    </xf>
    <xf numFmtId="0" fontId="5" fillId="4" borderId="2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 applyProtection="1">
      <alignment horizontal="center" vertical="center" wrapText="1" readingOrder="1"/>
      <protection locked="0"/>
    </xf>
    <xf numFmtId="0" fontId="3" fillId="9" borderId="7" xfId="0" applyFont="1" applyFill="1" applyBorder="1" applyAlignment="1" applyProtection="1">
      <alignment horizontal="center" vertical="center" wrapText="1" readingOrder="1"/>
      <protection locked="0"/>
    </xf>
    <xf numFmtId="0" fontId="6" fillId="0" borderId="3" xfId="0" applyFont="1" applyFill="1" applyBorder="1" applyAlignment="1" applyProtection="1">
      <alignment horizontal="center" vertical="center" wrapText="1" readingOrder="1"/>
      <protection locked="0"/>
    </xf>
    <xf numFmtId="0" fontId="6" fillId="0" borderId="59" xfId="0" applyFont="1" applyFill="1" applyBorder="1" applyAlignment="1" applyProtection="1">
      <alignment horizontal="center" vertical="center" wrapText="1" readingOrder="1"/>
      <protection locked="0"/>
    </xf>
    <xf numFmtId="0" fontId="13" fillId="4" borderId="16" xfId="3" applyFont="1" applyFill="1" applyBorder="1" applyAlignment="1" applyProtection="1">
      <alignment horizontal="center" vertical="center" wrapText="1" readingOrder="1"/>
      <protection locked="0"/>
    </xf>
    <xf numFmtId="0" fontId="13" fillId="4" borderId="17" xfId="3" applyFont="1" applyFill="1" applyBorder="1" applyAlignment="1" applyProtection="1">
      <alignment horizontal="center" vertical="center" wrapText="1" readingOrder="1"/>
      <protection locked="0"/>
    </xf>
    <xf numFmtId="0" fontId="11" fillId="7" borderId="2" xfId="0" applyFont="1" applyFill="1" applyBorder="1" applyAlignment="1" applyProtection="1">
      <alignment horizontal="center" vertical="center" wrapText="1" readingOrder="1"/>
      <protection locked="0"/>
    </xf>
    <xf numFmtId="0" fontId="11" fillId="7" borderId="7" xfId="0" applyFont="1" applyFill="1" applyBorder="1" applyAlignment="1" applyProtection="1">
      <alignment horizontal="center" vertical="center" wrapText="1" readingOrder="1"/>
      <protection locked="0"/>
    </xf>
  </cellXfs>
  <cellStyles count="4">
    <cellStyle name="Bad" xfId="3" builtinId="27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9"/>
  <sheetViews>
    <sheetView topLeftCell="A7" zoomScale="85" zoomScaleNormal="85" workbookViewId="0">
      <selection activeCell="B1" sqref="B1:Q28"/>
    </sheetView>
  </sheetViews>
  <sheetFormatPr defaultRowHeight="13.8" x14ac:dyDescent="0.25"/>
  <cols>
    <col min="1" max="1" width="4.5546875" style="5" customWidth="1"/>
    <col min="2" max="2" width="4.88671875" style="3" customWidth="1"/>
    <col min="3" max="3" width="19.77734375" style="1" customWidth="1"/>
    <col min="4" max="4" width="19.21875" style="1" customWidth="1"/>
    <col min="5" max="5" width="12.77734375" style="1" customWidth="1"/>
    <col min="6" max="6" width="10.44140625" style="1" customWidth="1"/>
    <col min="7" max="7" width="12" style="1" customWidth="1"/>
    <col min="8" max="8" width="5.6640625" style="3" customWidth="1"/>
    <col min="9" max="9" width="14.77734375" style="3" customWidth="1"/>
    <col min="10" max="10" width="11.6640625" style="1" customWidth="1"/>
    <col min="11" max="12" width="11.44140625" style="3" customWidth="1"/>
    <col min="13" max="13" width="10.44140625" style="3" customWidth="1"/>
    <col min="14" max="14" width="10.77734375" style="3" customWidth="1"/>
    <col min="15" max="15" width="14.77734375" style="3" customWidth="1"/>
    <col min="16" max="16" width="14.77734375" style="1" customWidth="1"/>
    <col min="17" max="17" width="12.77734375" style="1" customWidth="1"/>
    <col min="18" max="18" width="12.77734375" style="5" customWidth="1"/>
    <col min="19" max="26" width="12.77734375" style="1" customWidth="1"/>
    <col min="27" max="16384" width="8.88671875" style="1"/>
  </cols>
  <sheetData>
    <row r="1" spans="1:18" s="5" customFormat="1" x14ac:dyDescent="0.25">
      <c r="B1" s="4"/>
      <c r="H1" s="4"/>
      <c r="I1" s="4"/>
      <c r="K1" s="4"/>
      <c r="L1" s="4"/>
      <c r="M1" s="4"/>
      <c r="N1" s="4"/>
      <c r="O1" s="4"/>
    </row>
    <row r="2" spans="1:18" s="5" customFormat="1" x14ac:dyDescent="0.25">
      <c r="B2" s="4"/>
      <c r="H2" s="4"/>
      <c r="I2" s="4"/>
      <c r="K2" s="4"/>
      <c r="L2" s="4"/>
      <c r="M2" s="4"/>
      <c r="N2" s="4"/>
      <c r="O2" s="4"/>
    </row>
    <row r="3" spans="1:18" s="5" customFormat="1" x14ac:dyDescent="0.25">
      <c r="B3" s="4"/>
      <c r="H3" s="4"/>
      <c r="I3" s="4"/>
      <c r="K3" s="4"/>
      <c r="L3" s="4"/>
      <c r="M3" s="4"/>
      <c r="N3" s="4"/>
      <c r="O3" s="4"/>
    </row>
    <row r="4" spans="1:18" s="5" customFormat="1" ht="25.2" x14ac:dyDescent="0.45">
      <c r="B4" s="6" t="s">
        <v>22</v>
      </c>
      <c r="H4" s="4"/>
      <c r="I4" s="4"/>
      <c r="K4" s="4"/>
      <c r="L4" s="4"/>
      <c r="M4" s="4"/>
      <c r="N4" s="4"/>
      <c r="O4" s="4"/>
    </row>
    <row r="5" spans="1:18" s="5" customFormat="1" ht="14.4" thickBot="1" x14ac:dyDescent="0.3">
      <c r="B5" s="4"/>
      <c r="H5" s="4"/>
      <c r="I5" s="4"/>
      <c r="K5" s="4"/>
      <c r="L5" s="4"/>
      <c r="M5" s="4"/>
      <c r="N5" s="4"/>
      <c r="O5" s="4"/>
    </row>
    <row r="6" spans="1:18" s="2" customFormat="1" ht="14.4" customHeight="1" thickTop="1" x14ac:dyDescent="0.3">
      <c r="A6" s="7"/>
      <c r="B6" s="154" t="s">
        <v>0</v>
      </c>
      <c r="C6" s="162" t="s">
        <v>12</v>
      </c>
      <c r="D6" s="162" t="s">
        <v>11</v>
      </c>
      <c r="E6" s="162" t="s">
        <v>3</v>
      </c>
      <c r="F6" s="163" t="s">
        <v>13</v>
      </c>
      <c r="G6" s="162" t="s">
        <v>19</v>
      </c>
      <c r="H6" s="166" t="s">
        <v>15</v>
      </c>
      <c r="I6" s="166"/>
      <c r="J6" s="158" t="s">
        <v>30</v>
      </c>
      <c r="K6" s="164" t="s">
        <v>21</v>
      </c>
      <c r="L6" s="160" t="s">
        <v>65</v>
      </c>
      <c r="M6" s="156" t="s">
        <v>20</v>
      </c>
      <c r="N6" s="150" t="s">
        <v>17</v>
      </c>
      <c r="O6" s="150" t="s">
        <v>14</v>
      </c>
      <c r="P6" s="156" t="s">
        <v>23</v>
      </c>
      <c r="Q6" s="152" t="s">
        <v>18</v>
      </c>
      <c r="R6" s="7"/>
    </row>
    <row r="7" spans="1:18" s="2" customFormat="1" ht="18.600000000000001" customHeight="1" x14ac:dyDescent="0.3">
      <c r="A7" s="7"/>
      <c r="B7" s="155"/>
      <c r="C7" s="157"/>
      <c r="D7" s="157"/>
      <c r="E7" s="157"/>
      <c r="F7" s="151"/>
      <c r="G7" s="157"/>
      <c r="H7" s="8" t="s">
        <v>16</v>
      </c>
      <c r="I7" s="9" t="s">
        <v>31</v>
      </c>
      <c r="J7" s="159"/>
      <c r="K7" s="165"/>
      <c r="L7" s="161"/>
      <c r="M7" s="157"/>
      <c r="N7" s="151"/>
      <c r="O7" s="151"/>
      <c r="P7" s="157"/>
      <c r="Q7" s="153"/>
      <c r="R7" s="7"/>
    </row>
    <row r="8" spans="1:18" s="11" customFormat="1" ht="22.2" customHeight="1" x14ac:dyDescent="0.3">
      <c r="A8" s="10"/>
      <c r="B8" s="122">
        <v>1</v>
      </c>
      <c r="C8" s="85">
        <v>46298</v>
      </c>
      <c r="D8" s="86" t="s">
        <v>24</v>
      </c>
      <c r="E8" s="86" t="s">
        <v>25</v>
      </c>
      <c r="F8" s="120">
        <v>10</v>
      </c>
      <c r="G8" s="87">
        <v>4500000</v>
      </c>
      <c r="H8" s="88">
        <v>0.08</v>
      </c>
      <c r="I8" s="89">
        <f>G8*H8</f>
        <v>360000</v>
      </c>
      <c r="J8" s="90">
        <f>G8+I8</f>
        <v>4860000</v>
      </c>
      <c r="K8" s="131">
        <v>1</v>
      </c>
      <c r="L8" s="86"/>
      <c r="M8" s="91" t="s">
        <v>27</v>
      </c>
      <c r="N8" s="91">
        <f>F8-K8</f>
        <v>9</v>
      </c>
      <c r="O8" s="91" t="s">
        <v>28</v>
      </c>
      <c r="P8" s="86"/>
      <c r="Q8" s="132" t="s">
        <v>29</v>
      </c>
      <c r="R8" s="10"/>
    </row>
    <row r="9" spans="1:18" s="11" customFormat="1" ht="22.2" customHeight="1" x14ac:dyDescent="0.3">
      <c r="A9" s="10"/>
      <c r="B9" s="123">
        <v>2</v>
      </c>
      <c r="C9" s="92">
        <v>46298</v>
      </c>
      <c r="D9" s="93" t="s">
        <v>24</v>
      </c>
      <c r="E9" s="93" t="s">
        <v>5</v>
      </c>
      <c r="F9" s="121">
        <v>10</v>
      </c>
      <c r="G9" s="94">
        <v>5500000</v>
      </c>
      <c r="H9" s="95">
        <v>0.08</v>
      </c>
      <c r="I9" s="96">
        <f>G9*H9</f>
        <v>440000</v>
      </c>
      <c r="J9" s="97">
        <f>G9+I9</f>
        <v>5940000</v>
      </c>
      <c r="K9" s="133">
        <v>0</v>
      </c>
      <c r="L9" s="93"/>
      <c r="M9" s="98" t="s">
        <v>27</v>
      </c>
      <c r="N9" s="98">
        <f>F9-K9</f>
        <v>10</v>
      </c>
      <c r="O9" s="98" t="s">
        <v>28</v>
      </c>
      <c r="P9" s="93"/>
      <c r="Q9" s="134" t="s">
        <v>29</v>
      </c>
      <c r="R9" s="10"/>
    </row>
    <row r="10" spans="1:18" s="11" customFormat="1" ht="22.2" customHeight="1" x14ac:dyDescent="0.3">
      <c r="A10" s="10"/>
      <c r="B10" s="123">
        <v>2</v>
      </c>
      <c r="C10" s="98" t="s">
        <v>26</v>
      </c>
      <c r="D10" s="93" t="s">
        <v>32</v>
      </c>
      <c r="E10" s="93" t="s">
        <v>33</v>
      </c>
      <c r="F10" s="98">
        <v>5</v>
      </c>
      <c r="G10" s="94">
        <v>3950000</v>
      </c>
      <c r="H10" s="99">
        <v>0.08</v>
      </c>
      <c r="I10" s="96">
        <f t="shared" ref="I10:I11" si="0">G10*H10</f>
        <v>316000</v>
      </c>
      <c r="J10" s="97">
        <f>G10+I10</f>
        <v>4266000</v>
      </c>
      <c r="K10" s="135">
        <v>0</v>
      </c>
      <c r="L10" s="94"/>
      <c r="M10" s="100"/>
      <c r="N10" s="98">
        <f t="shared" ref="N10:N11" si="1">F10-K10</f>
        <v>5</v>
      </c>
      <c r="O10" s="100" t="s">
        <v>36</v>
      </c>
      <c r="P10" s="94"/>
      <c r="Q10" s="136"/>
      <c r="R10" s="10"/>
    </row>
    <row r="11" spans="1:18" s="11" customFormat="1" ht="22.2" customHeight="1" x14ac:dyDescent="0.3">
      <c r="A11" s="10"/>
      <c r="B11" s="123">
        <v>3</v>
      </c>
      <c r="C11" s="98" t="s">
        <v>26</v>
      </c>
      <c r="D11" s="93" t="s">
        <v>32</v>
      </c>
      <c r="E11" s="93" t="s">
        <v>34</v>
      </c>
      <c r="F11" s="98">
        <v>5</v>
      </c>
      <c r="G11" s="94">
        <v>6850000</v>
      </c>
      <c r="H11" s="99">
        <v>0.08</v>
      </c>
      <c r="I11" s="96">
        <f t="shared" si="0"/>
        <v>548000</v>
      </c>
      <c r="J11" s="97">
        <f>G11+I11</f>
        <v>7398000</v>
      </c>
      <c r="K11" s="133">
        <v>1</v>
      </c>
      <c r="L11" s="94"/>
      <c r="M11" s="100" t="s">
        <v>35</v>
      </c>
      <c r="N11" s="98">
        <f t="shared" si="1"/>
        <v>4</v>
      </c>
      <c r="O11" s="100" t="s">
        <v>36</v>
      </c>
      <c r="P11" s="94"/>
      <c r="Q11" s="136"/>
      <c r="R11" s="10"/>
    </row>
    <row r="12" spans="1:18" s="11" customFormat="1" ht="22.2" customHeight="1" x14ac:dyDescent="0.3">
      <c r="A12" s="10"/>
      <c r="B12" s="124">
        <v>4</v>
      </c>
      <c r="C12" s="101"/>
      <c r="D12" s="102"/>
      <c r="E12" s="102"/>
      <c r="F12" s="102"/>
      <c r="G12" s="103"/>
      <c r="H12" s="104"/>
      <c r="I12" s="105"/>
      <c r="J12" s="103"/>
      <c r="K12" s="137"/>
      <c r="L12" s="105"/>
      <c r="M12" s="105"/>
      <c r="N12" s="105"/>
      <c r="O12" s="105"/>
      <c r="P12" s="103"/>
      <c r="Q12" s="138"/>
      <c r="R12" s="10"/>
    </row>
    <row r="13" spans="1:18" s="11" customFormat="1" ht="22.2" customHeight="1" x14ac:dyDescent="0.3">
      <c r="A13" s="10"/>
      <c r="B13" s="125">
        <v>5</v>
      </c>
      <c r="C13" s="14"/>
      <c r="D13" s="15"/>
      <c r="E13" s="15"/>
      <c r="F13" s="15"/>
      <c r="G13" s="16"/>
      <c r="H13" s="17"/>
      <c r="I13" s="18"/>
      <c r="J13" s="16"/>
      <c r="K13" s="139"/>
      <c r="L13" s="18"/>
      <c r="M13" s="18"/>
      <c r="N13" s="18"/>
      <c r="O13" s="18"/>
      <c r="P13" s="16"/>
      <c r="Q13" s="140"/>
      <c r="R13" s="10"/>
    </row>
    <row r="14" spans="1:18" s="11" customFormat="1" ht="22.2" customHeight="1" x14ac:dyDescent="0.3">
      <c r="A14" s="10"/>
      <c r="B14" s="125">
        <v>6</v>
      </c>
      <c r="C14" s="14"/>
      <c r="D14" s="15"/>
      <c r="E14" s="15"/>
      <c r="F14" s="15"/>
      <c r="G14" s="16"/>
      <c r="H14" s="17"/>
      <c r="I14" s="18"/>
      <c r="J14" s="16"/>
      <c r="K14" s="139"/>
      <c r="L14" s="18"/>
      <c r="M14" s="18"/>
      <c r="N14" s="18"/>
      <c r="O14" s="18"/>
      <c r="P14" s="16"/>
      <c r="Q14" s="140"/>
      <c r="R14" s="10"/>
    </row>
    <row r="15" spans="1:18" s="11" customFormat="1" ht="22.2" customHeight="1" x14ac:dyDescent="0.3">
      <c r="A15" s="10"/>
      <c r="B15" s="125">
        <v>7</v>
      </c>
      <c r="C15" s="14"/>
      <c r="D15" s="15"/>
      <c r="E15" s="15"/>
      <c r="F15" s="15"/>
      <c r="G15" s="16"/>
      <c r="H15" s="17"/>
      <c r="I15" s="18"/>
      <c r="J15" s="16"/>
      <c r="K15" s="139"/>
      <c r="L15" s="18"/>
      <c r="M15" s="18"/>
      <c r="N15" s="18"/>
      <c r="O15" s="18"/>
      <c r="P15" s="16"/>
      <c r="Q15" s="140"/>
      <c r="R15" s="10"/>
    </row>
    <row r="16" spans="1:18" s="11" customFormat="1" ht="22.2" customHeight="1" x14ac:dyDescent="0.3">
      <c r="A16" s="10"/>
      <c r="B16" s="125">
        <v>8</v>
      </c>
      <c r="C16" s="14"/>
      <c r="D16" s="15"/>
      <c r="E16" s="15"/>
      <c r="F16" s="15"/>
      <c r="G16" s="16"/>
      <c r="H16" s="17"/>
      <c r="I16" s="18"/>
      <c r="J16" s="16"/>
      <c r="K16" s="139"/>
      <c r="L16" s="18"/>
      <c r="M16" s="18"/>
      <c r="N16" s="18"/>
      <c r="O16" s="18"/>
      <c r="P16" s="16"/>
      <c r="Q16" s="140"/>
      <c r="R16" s="10"/>
    </row>
    <row r="17" spans="1:18" s="11" customFormat="1" ht="22.2" customHeight="1" x14ac:dyDescent="0.3">
      <c r="A17" s="10"/>
      <c r="B17" s="125">
        <v>9</v>
      </c>
      <c r="C17" s="14"/>
      <c r="D17" s="15"/>
      <c r="E17" s="15"/>
      <c r="F17" s="15"/>
      <c r="G17" s="16"/>
      <c r="H17" s="17"/>
      <c r="I17" s="18"/>
      <c r="J17" s="16"/>
      <c r="K17" s="139"/>
      <c r="L17" s="18"/>
      <c r="M17" s="18"/>
      <c r="N17" s="18"/>
      <c r="O17" s="18"/>
      <c r="P17" s="16"/>
      <c r="Q17" s="140"/>
      <c r="R17" s="10"/>
    </row>
    <row r="18" spans="1:18" s="11" customFormat="1" ht="22.2" customHeight="1" x14ac:dyDescent="0.3">
      <c r="A18" s="10"/>
      <c r="B18" s="125">
        <v>10</v>
      </c>
      <c r="C18" s="14"/>
      <c r="D18" s="15"/>
      <c r="E18" s="15"/>
      <c r="F18" s="15"/>
      <c r="G18" s="16"/>
      <c r="H18" s="18"/>
      <c r="I18" s="18"/>
      <c r="J18" s="16"/>
      <c r="K18" s="139"/>
      <c r="L18" s="18"/>
      <c r="M18" s="18"/>
      <c r="N18" s="18"/>
      <c r="O18" s="18"/>
      <c r="P18" s="16"/>
      <c r="Q18" s="140"/>
      <c r="R18" s="10"/>
    </row>
    <row r="19" spans="1:18" s="11" customFormat="1" ht="22.2" customHeight="1" x14ac:dyDescent="0.3">
      <c r="A19" s="10"/>
      <c r="B19" s="125">
        <v>11</v>
      </c>
      <c r="C19" s="14"/>
      <c r="D19" s="15"/>
      <c r="E19" s="15"/>
      <c r="F19" s="15"/>
      <c r="G19" s="16"/>
      <c r="H19" s="18"/>
      <c r="I19" s="18"/>
      <c r="J19" s="16"/>
      <c r="K19" s="139"/>
      <c r="L19" s="18"/>
      <c r="M19" s="18"/>
      <c r="N19" s="18"/>
      <c r="O19" s="18"/>
      <c r="P19" s="16"/>
      <c r="Q19" s="140"/>
      <c r="R19" s="10"/>
    </row>
    <row r="20" spans="1:18" s="11" customFormat="1" ht="22.2" customHeight="1" x14ac:dyDescent="0.3">
      <c r="A20" s="10"/>
      <c r="B20" s="125">
        <v>12</v>
      </c>
      <c r="C20" s="14"/>
      <c r="D20" s="15"/>
      <c r="E20" s="15"/>
      <c r="F20" s="15"/>
      <c r="G20" s="15"/>
      <c r="H20" s="14"/>
      <c r="I20" s="14"/>
      <c r="J20" s="15"/>
      <c r="K20" s="141"/>
      <c r="L20" s="14"/>
      <c r="M20" s="14"/>
      <c r="N20" s="14"/>
      <c r="O20" s="14"/>
      <c r="P20" s="15"/>
      <c r="Q20" s="142"/>
      <c r="R20" s="10"/>
    </row>
    <row r="21" spans="1:18" s="11" customFormat="1" ht="22.2" customHeight="1" x14ac:dyDescent="0.3">
      <c r="A21" s="10"/>
      <c r="B21" s="125">
        <v>13</v>
      </c>
      <c r="C21" s="15"/>
      <c r="D21" s="15"/>
      <c r="E21" s="15"/>
      <c r="F21" s="15"/>
      <c r="G21" s="15"/>
      <c r="H21" s="14"/>
      <c r="I21" s="14"/>
      <c r="J21" s="15"/>
      <c r="K21" s="141"/>
      <c r="L21" s="14"/>
      <c r="M21" s="14"/>
      <c r="N21" s="14"/>
      <c r="O21" s="14"/>
      <c r="P21" s="15"/>
      <c r="Q21" s="142"/>
      <c r="R21" s="10"/>
    </row>
    <row r="22" spans="1:18" s="11" customFormat="1" ht="22.2" customHeight="1" x14ac:dyDescent="0.3">
      <c r="A22" s="10"/>
      <c r="B22" s="125">
        <v>14</v>
      </c>
      <c r="C22" s="15"/>
      <c r="D22" s="15"/>
      <c r="E22" s="15"/>
      <c r="F22" s="15"/>
      <c r="G22" s="15"/>
      <c r="H22" s="14"/>
      <c r="I22" s="14"/>
      <c r="J22" s="15"/>
      <c r="K22" s="141"/>
      <c r="L22" s="14"/>
      <c r="M22" s="14"/>
      <c r="N22" s="14"/>
      <c r="O22" s="14"/>
      <c r="P22" s="15"/>
      <c r="Q22" s="142"/>
      <c r="R22" s="10"/>
    </row>
    <row r="23" spans="1:18" s="11" customFormat="1" ht="22.2" customHeight="1" x14ac:dyDescent="0.3">
      <c r="A23" s="10"/>
      <c r="B23" s="125">
        <v>15</v>
      </c>
      <c r="C23" s="15"/>
      <c r="D23" s="15"/>
      <c r="E23" s="15"/>
      <c r="F23" s="15"/>
      <c r="G23" s="15"/>
      <c r="H23" s="14"/>
      <c r="I23" s="14"/>
      <c r="J23" s="15"/>
      <c r="K23" s="141"/>
      <c r="L23" s="14"/>
      <c r="M23" s="14"/>
      <c r="N23" s="14"/>
      <c r="O23" s="14"/>
      <c r="P23" s="15"/>
      <c r="Q23" s="142"/>
      <c r="R23" s="10"/>
    </row>
    <row r="24" spans="1:18" s="11" customFormat="1" ht="22.2" customHeight="1" x14ac:dyDescent="0.3">
      <c r="A24" s="10"/>
      <c r="B24" s="125">
        <v>16</v>
      </c>
      <c r="C24" s="15"/>
      <c r="D24" s="15"/>
      <c r="E24" s="15"/>
      <c r="F24" s="15"/>
      <c r="G24" s="15"/>
      <c r="H24" s="14"/>
      <c r="I24" s="14"/>
      <c r="J24" s="15"/>
      <c r="K24" s="141"/>
      <c r="L24" s="14"/>
      <c r="M24" s="14"/>
      <c r="N24" s="14"/>
      <c r="O24" s="14"/>
      <c r="P24" s="15"/>
      <c r="Q24" s="142"/>
      <c r="R24" s="10"/>
    </row>
    <row r="25" spans="1:18" s="11" customFormat="1" ht="22.2" customHeight="1" x14ac:dyDescent="0.3">
      <c r="A25" s="10"/>
      <c r="B25" s="125">
        <v>17</v>
      </c>
      <c r="C25" s="15"/>
      <c r="D25" s="15"/>
      <c r="E25" s="15"/>
      <c r="F25" s="15"/>
      <c r="G25" s="15"/>
      <c r="H25" s="14"/>
      <c r="I25" s="14"/>
      <c r="J25" s="15"/>
      <c r="K25" s="141"/>
      <c r="L25" s="14"/>
      <c r="M25" s="14"/>
      <c r="N25" s="14"/>
      <c r="O25" s="14"/>
      <c r="P25" s="15"/>
      <c r="Q25" s="142"/>
      <c r="R25" s="10"/>
    </row>
    <row r="26" spans="1:18" s="11" customFormat="1" ht="22.2" customHeight="1" x14ac:dyDescent="0.3">
      <c r="A26" s="10"/>
      <c r="B26" s="125">
        <v>18</v>
      </c>
      <c r="C26" s="15"/>
      <c r="D26" s="15"/>
      <c r="E26" s="15"/>
      <c r="F26" s="15"/>
      <c r="G26" s="15"/>
      <c r="H26" s="14"/>
      <c r="I26" s="14"/>
      <c r="J26" s="15"/>
      <c r="K26" s="141"/>
      <c r="L26" s="14"/>
      <c r="M26" s="14"/>
      <c r="N26" s="14"/>
      <c r="O26" s="14"/>
      <c r="P26" s="15"/>
      <c r="Q26" s="142"/>
      <c r="R26" s="10"/>
    </row>
    <row r="27" spans="1:18" s="11" customFormat="1" ht="22.2" customHeight="1" x14ac:dyDescent="0.3">
      <c r="A27" s="10"/>
      <c r="B27" s="125">
        <v>19</v>
      </c>
      <c r="C27" s="15"/>
      <c r="D27" s="15"/>
      <c r="E27" s="15"/>
      <c r="F27" s="15"/>
      <c r="G27" s="15"/>
      <c r="H27" s="14"/>
      <c r="I27" s="14"/>
      <c r="J27" s="15"/>
      <c r="K27" s="141"/>
      <c r="L27" s="14"/>
      <c r="M27" s="14"/>
      <c r="N27" s="14"/>
      <c r="O27" s="14"/>
      <c r="P27" s="15"/>
      <c r="Q27" s="142"/>
      <c r="R27" s="10"/>
    </row>
    <row r="28" spans="1:18" s="11" customFormat="1" ht="14.4" thickBot="1" x14ac:dyDescent="0.35">
      <c r="A28" s="10"/>
      <c r="B28" s="126">
        <v>20</v>
      </c>
      <c r="C28" s="127"/>
      <c r="D28" s="127"/>
      <c r="E28" s="127"/>
      <c r="F28" s="127"/>
      <c r="G28" s="127"/>
      <c r="H28" s="128"/>
      <c r="I28" s="129"/>
      <c r="J28" s="130"/>
      <c r="K28" s="143"/>
      <c r="L28" s="144"/>
      <c r="M28" s="144"/>
      <c r="N28" s="144"/>
      <c r="O28" s="144"/>
      <c r="P28" s="145"/>
      <c r="Q28" s="146"/>
      <c r="R28" s="10"/>
    </row>
    <row r="29" spans="1:18" ht="14.4" thickTop="1" x14ac:dyDescent="0.25"/>
  </sheetData>
  <autoFilter ref="B6:Q28">
    <filterColumn colId="6" showButton="0"/>
  </autoFilter>
  <mergeCells count="15">
    <mergeCell ref="O6:O7"/>
    <mergeCell ref="Q6:Q7"/>
    <mergeCell ref="B6:B7"/>
    <mergeCell ref="M6:M7"/>
    <mergeCell ref="P6:P7"/>
    <mergeCell ref="J6:J7"/>
    <mergeCell ref="L6:L7"/>
    <mergeCell ref="C6:C7"/>
    <mergeCell ref="D6:D7"/>
    <mergeCell ref="F6:F7"/>
    <mergeCell ref="E6:E7"/>
    <mergeCell ref="K6:K7"/>
    <mergeCell ref="N6:N7"/>
    <mergeCell ref="H6:I6"/>
    <mergeCell ref="G6:G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31"/>
  <sheetViews>
    <sheetView topLeftCell="D6" workbookViewId="0">
      <selection activeCell="P8" sqref="P8:P24"/>
    </sheetView>
  </sheetViews>
  <sheetFormatPr defaultRowHeight="13.8" x14ac:dyDescent="0.25"/>
  <cols>
    <col min="1" max="1" width="3" style="5" customWidth="1"/>
    <col min="2" max="2" width="6.6640625" style="1" customWidth="1"/>
    <col min="3" max="3" width="32" style="1" customWidth="1"/>
    <col min="4" max="4" width="13.44140625" style="3" customWidth="1"/>
    <col min="5" max="5" width="7.77734375" style="3" customWidth="1"/>
    <col min="6" max="6" width="6.88671875" style="1" customWidth="1"/>
    <col min="7" max="7" width="6.6640625" style="1" customWidth="1"/>
    <col min="8" max="8" width="7.6640625" style="1" customWidth="1"/>
    <col min="9" max="9" width="12.6640625" style="1" customWidth="1"/>
    <col min="10" max="10" width="9" style="1" customWidth="1"/>
    <col min="11" max="11" width="11.21875" style="1" customWidth="1"/>
    <col min="12" max="14" width="6.77734375" style="1" customWidth="1"/>
    <col min="15" max="15" width="13.44140625" style="1" customWidth="1"/>
    <col min="16" max="16" width="6.6640625" style="20" customWidth="1"/>
    <col min="17" max="17" width="8.88671875" style="20" customWidth="1"/>
    <col min="18" max="18" width="8.21875" style="1" customWidth="1"/>
    <col min="19" max="19" width="7.6640625" style="1" customWidth="1"/>
    <col min="20" max="20" width="11.21875" style="1" customWidth="1"/>
    <col min="21" max="21" width="6.77734375" style="1" customWidth="1"/>
    <col min="22" max="22" width="7.77734375" style="1" customWidth="1"/>
    <col min="23" max="23" width="8.88671875" style="1"/>
    <col min="24" max="24" width="11.21875" style="1" customWidth="1"/>
    <col min="25" max="26" width="8.88671875" style="5"/>
    <col min="27" max="16384" width="8.88671875" style="1"/>
  </cols>
  <sheetData>
    <row r="1" spans="1:26" s="5" customFormat="1" x14ac:dyDescent="0.25">
      <c r="D1" s="4"/>
      <c r="E1" s="4"/>
      <c r="P1" s="77"/>
      <c r="Q1" s="77"/>
    </row>
    <row r="2" spans="1:26" s="5" customFormat="1" ht="22.2" customHeight="1" x14ac:dyDescent="0.25">
      <c r="B2" s="174" t="s">
        <v>40</v>
      </c>
      <c r="C2" s="174"/>
      <c r="D2" s="173" t="s">
        <v>66</v>
      </c>
      <c r="E2" s="173"/>
      <c r="F2" s="173"/>
      <c r="G2" s="173"/>
      <c r="P2" s="77"/>
      <c r="Q2" s="77"/>
    </row>
    <row r="3" spans="1:26" s="5" customFormat="1" ht="24.6" customHeight="1" x14ac:dyDescent="0.25">
      <c r="B3" s="193" t="s">
        <v>38</v>
      </c>
      <c r="C3" s="193"/>
      <c r="D3" s="79" t="s">
        <v>41</v>
      </c>
      <c r="E3" s="79" t="s">
        <v>5</v>
      </c>
      <c r="F3" s="80"/>
      <c r="G3" s="80"/>
      <c r="P3" s="77"/>
      <c r="Q3" s="77"/>
    </row>
    <row r="4" spans="1:26" s="5" customFormat="1" ht="18" customHeight="1" x14ac:dyDescent="0.25">
      <c r="B4" s="193" t="s">
        <v>39</v>
      </c>
      <c r="C4" s="193"/>
      <c r="D4" s="119">
        <v>10</v>
      </c>
      <c r="E4" s="119">
        <v>10</v>
      </c>
      <c r="F4" s="80"/>
      <c r="G4" s="80"/>
      <c r="P4" s="77"/>
      <c r="Q4" s="77"/>
    </row>
    <row r="5" spans="1:26" s="5" customFormat="1" ht="18" customHeight="1" x14ac:dyDescent="0.25">
      <c r="B5" s="193"/>
      <c r="C5" s="193"/>
      <c r="D5" s="81"/>
      <c r="E5" s="81"/>
      <c r="F5" s="80"/>
      <c r="G5" s="80"/>
      <c r="P5" s="77"/>
      <c r="Q5" s="77"/>
    </row>
    <row r="6" spans="1:26" s="5" customFormat="1" ht="23.4" customHeight="1" x14ac:dyDescent="0.3">
      <c r="B6" s="82" t="s">
        <v>37</v>
      </c>
      <c r="C6" s="83"/>
      <c r="D6" s="4"/>
      <c r="E6" s="4"/>
      <c r="P6" s="77"/>
      <c r="Q6" s="77"/>
    </row>
    <row r="7" spans="1:26" s="5" customFormat="1" ht="8.4" customHeight="1" x14ac:dyDescent="0.25">
      <c r="B7" s="84"/>
      <c r="C7" s="84"/>
      <c r="D7" s="4"/>
      <c r="E7" s="4"/>
      <c r="P7" s="77"/>
      <c r="Q7" s="77"/>
    </row>
    <row r="8" spans="1:26" ht="30.6" customHeight="1" x14ac:dyDescent="0.25">
      <c r="B8" s="191" t="s">
        <v>0</v>
      </c>
      <c r="C8" s="191" t="s">
        <v>1</v>
      </c>
      <c r="D8" s="191" t="s">
        <v>2</v>
      </c>
      <c r="E8" s="185" t="s">
        <v>64</v>
      </c>
      <c r="F8" s="185"/>
      <c r="G8" s="185"/>
      <c r="H8" s="186" t="s">
        <v>7</v>
      </c>
      <c r="I8" s="186" t="s">
        <v>8</v>
      </c>
      <c r="J8" s="186" t="s">
        <v>9</v>
      </c>
      <c r="K8" s="186" t="s">
        <v>10</v>
      </c>
      <c r="L8" s="188" t="s">
        <v>63</v>
      </c>
      <c r="M8" s="189"/>
      <c r="N8" s="190"/>
      <c r="O8" s="175" t="s">
        <v>42</v>
      </c>
      <c r="P8" s="177" t="s">
        <v>43</v>
      </c>
      <c r="Q8" s="179" t="s">
        <v>44</v>
      </c>
      <c r="R8" s="181" t="s">
        <v>23</v>
      </c>
      <c r="S8" s="183" t="s">
        <v>55</v>
      </c>
      <c r="T8" s="184"/>
      <c r="U8" s="167" t="s">
        <v>56</v>
      </c>
      <c r="V8" s="169" t="s">
        <v>57</v>
      </c>
      <c r="W8" s="171" t="s">
        <v>58</v>
      </c>
      <c r="X8" s="65" t="s">
        <v>59</v>
      </c>
    </row>
    <row r="9" spans="1:26" s="19" customFormat="1" ht="22.2" customHeight="1" x14ac:dyDescent="0.25">
      <c r="A9" s="78"/>
      <c r="B9" s="192"/>
      <c r="C9" s="192"/>
      <c r="D9" s="192"/>
      <c r="E9" s="41" t="s">
        <v>4</v>
      </c>
      <c r="F9" s="42" t="s">
        <v>5</v>
      </c>
      <c r="G9" s="43" t="s">
        <v>6</v>
      </c>
      <c r="H9" s="187"/>
      <c r="I9" s="187"/>
      <c r="J9" s="187"/>
      <c r="K9" s="187"/>
      <c r="L9" s="41" t="s">
        <v>4</v>
      </c>
      <c r="M9" s="42" t="s">
        <v>5</v>
      </c>
      <c r="N9" s="43" t="s">
        <v>6</v>
      </c>
      <c r="O9" s="176"/>
      <c r="P9" s="178"/>
      <c r="Q9" s="180"/>
      <c r="R9" s="182"/>
      <c r="S9" s="57" t="s">
        <v>61</v>
      </c>
      <c r="T9" s="58" t="s">
        <v>62</v>
      </c>
      <c r="U9" s="168"/>
      <c r="V9" s="170"/>
      <c r="W9" s="172"/>
      <c r="X9" s="66">
        <v>46132</v>
      </c>
      <c r="Y9" s="78"/>
      <c r="Z9" s="78"/>
    </row>
    <row r="10" spans="1:26" ht="51" customHeight="1" x14ac:dyDescent="0.25">
      <c r="B10" s="21">
        <v>1</v>
      </c>
      <c r="C10" s="22" t="s">
        <v>45</v>
      </c>
      <c r="D10" s="23" t="s">
        <v>46</v>
      </c>
      <c r="E10" s="67">
        <v>1</v>
      </c>
      <c r="F10" s="69"/>
      <c r="G10" s="71"/>
      <c r="H10" s="72"/>
      <c r="I10" s="72"/>
      <c r="J10" s="72"/>
      <c r="K10" s="72"/>
      <c r="L10" s="67">
        <f>$D$4*E10</f>
        <v>10</v>
      </c>
      <c r="M10" s="69">
        <f>$E$4*F10</f>
        <v>0</v>
      </c>
      <c r="N10" s="71"/>
      <c r="O10" s="12">
        <f>L10+M10+N10</f>
        <v>10</v>
      </c>
      <c r="P10" s="12">
        <v>5</v>
      </c>
      <c r="Q10" s="12">
        <f>P10-O10</f>
        <v>-5</v>
      </c>
      <c r="R10" s="24"/>
      <c r="S10" s="59"/>
      <c r="T10" s="60"/>
      <c r="U10" s="24"/>
      <c r="V10" s="24"/>
      <c r="W10" s="24"/>
      <c r="X10" s="51"/>
    </row>
    <row r="11" spans="1:26" ht="45" customHeight="1" x14ac:dyDescent="0.25">
      <c r="B11" s="25">
        <v>2</v>
      </c>
      <c r="C11" s="26" t="s">
        <v>47</v>
      </c>
      <c r="D11" s="27" t="s">
        <v>48</v>
      </c>
      <c r="E11" s="68"/>
      <c r="F11" s="70">
        <v>3</v>
      </c>
      <c r="G11" s="73"/>
      <c r="H11" s="74"/>
      <c r="I11" s="74"/>
      <c r="J11" s="74"/>
      <c r="K11" s="74"/>
      <c r="L11" s="68">
        <f t="shared" ref="L11:L14" si="0">$D$4*E11</f>
        <v>0</v>
      </c>
      <c r="M11" s="70">
        <f t="shared" ref="M11:M14" si="1">$E$4*F11</f>
        <v>30</v>
      </c>
      <c r="N11" s="73"/>
      <c r="O11" s="14">
        <f t="shared" ref="O11:O14" si="2">L11+M11+N11</f>
        <v>30</v>
      </c>
      <c r="P11" s="14">
        <v>15</v>
      </c>
      <c r="Q11" s="14">
        <f t="shared" ref="Q11:Q14" si="3">P11-O11</f>
        <v>-15</v>
      </c>
      <c r="R11" s="28"/>
      <c r="S11" s="61"/>
      <c r="T11" s="62"/>
      <c r="U11" s="28"/>
      <c r="V11" s="28"/>
      <c r="W11" s="28"/>
      <c r="X11" s="52"/>
    </row>
    <row r="12" spans="1:26" ht="24.6" customHeight="1" x14ac:dyDescent="0.25">
      <c r="B12" s="25">
        <v>3</v>
      </c>
      <c r="C12" s="26" t="s">
        <v>49</v>
      </c>
      <c r="D12" s="27" t="s">
        <v>50</v>
      </c>
      <c r="E12" s="68">
        <v>1</v>
      </c>
      <c r="F12" s="70">
        <v>1</v>
      </c>
      <c r="G12" s="73"/>
      <c r="H12" s="74"/>
      <c r="I12" s="74"/>
      <c r="J12" s="74"/>
      <c r="K12" s="74"/>
      <c r="L12" s="68">
        <f t="shared" si="0"/>
        <v>10</v>
      </c>
      <c r="M12" s="70">
        <f t="shared" si="1"/>
        <v>10</v>
      </c>
      <c r="N12" s="73"/>
      <c r="O12" s="14">
        <f t="shared" si="2"/>
        <v>20</v>
      </c>
      <c r="P12" s="14">
        <v>14</v>
      </c>
      <c r="Q12" s="14">
        <f t="shared" si="3"/>
        <v>-6</v>
      </c>
      <c r="R12" s="28"/>
      <c r="S12" s="61"/>
      <c r="T12" s="62"/>
      <c r="U12" s="28"/>
      <c r="V12" s="28"/>
      <c r="W12" s="28"/>
      <c r="X12" s="52"/>
    </row>
    <row r="13" spans="1:26" ht="21.6" customHeight="1" x14ac:dyDescent="0.25">
      <c r="B13" s="29">
        <v>4</v>
      </c>
      <c r="C13" s="30" t="s">
        <v>51</v>
      </c>
      <c r="D13" s="27" t="s">
        <v>52</v>
      </c>
      <c r="E13" s="68">
        <v>2</v>
      </c>
      <c r="F13" s="70">
        <v>1</v>
      </c>
      <c r="G13" s="73"/>
      <c r="H13" s="74"/>
      <c r="I13" s="74"/>
      <c r="J13" s="74"/>
      <c r="K13" s="74"/>
      <c r="L13" s="68">
        <f t="shared" si="0"/>
        <v>20</v>
      </c>
      <c r="M13" s="70">
        <f t="shared" si="1"/>
        <v>10</v>
      </c>
      <c r="N13" s="73"/>
      <c r="O13" s="14">
        <f t="shared" si="2"/>
        <v>30</v>
      </c>
      <c r="P13" s="14">
        <v>54</v>
      </c>
      <c r="Q13" s="14">
        <f t="shared" si="3"/>
        <v>24</v>
      </c>
      <c r="R13" s="28"/>
      <c r="S13" s="61"/>
      <c r="T13" s="62"/>
      <c r="U13" s="28"/>
      <c r="V13" s="28"/>
      <c r="W13" s="28"/>
      <c r="X13" s="52"/>
    </row>
    <row r="14" spans="1:26" ht="25.2" customHeight="1" x14ac:dyDescent="0.25">
      <c r="B14" s="37">
        <v>5</v>
      </c>
      <c r="C14" s="33" t="s">
        <v>53</v>
      </c>
      <c r="D14" s="36" t="s">
        <v>54</v>
      </c>
      <c r="E14" s="68">
        <v>1</v>
      </c>
      <c r="F14" s="70"/>
      <c r="G14" s="73"/>
      <c r="H14" s="74"/>
      <c r="I14" s="74"/>
      <c r="J14" s="74"/>
      <c r="K14" s="74"/>
      <c r="L14" s="68">
        <f t="shared" si="0"/>
        <v>10</v>
      </c>
      <c r="M14" s="70">
        <f t="shared" si="1"/>
        <v>0</v>
      </c>
      <c r="N14" s="73"/>
      <c r="O14" s="14">
        <f t="shared" si="2"/>
        <v>10</v>
      </c>
      <c r="P14" s="14">
        <v>17</v>
      </c>
      <c r="Q14" s="14">
        <f t="shared" si="3"/>
        <v>7</v>
      </c>
      <c r="R14" s="28"/>
      <c r="S14" s="61"/>
      <c r="T14" s="62"/>
      <c r="U14" s="28"/>
      <c r="V14" s="28"/>
      <c r="W14" s="28"/>
      <c r="X14" s="52"/>
    </row>
    <row r="15" spans="1:26" x14ac:dyDescent="0.25">
      <c r="B15" s="13">
        <v>6</v>
      </c>
      <c r="C15" s="75"/>
      <c r="D15" s="34"/>
      <c r="E15" s="68"/>
      <c r="F15" s="70"/>
      <c r="G15" s="47"/>
      <c r="H15" s="55"/>
      <c r="I15" s="55"/>
      <c r="J15" s="55"/>
      <c r="K15" s="55"/>
      <c r="L15" s="52"/>
      <c r="M15" s="46"/>
      <c r="N15" s="47"/>
      <c r="O15" s="28"/>
      <c r="P15" s="14"/>
      <c r="Q15" s="14"/>
      <c r="R15" s="28"/>
      <c r="S15" s="61"/>
      <c r="T15" s="62"/>
      <c r="U15" s="28"/>
      <c r="V15" s="28"/>
      <c r="W15" s="28"/>
      <c r="X15" s="52"/>
    </row>
    <row r="16" spans="1:26" x14ac:dyDescent="0.25">
      <c r="B16" s="13">
        <v>7</v>
      </c>
      <c r="C16" s="147"/>
      <c r="D16" s="34"/>
      <c r="E16" s="68"/>
      <c r="F16" s="70"/>
      <c r="G16" s="47"/>
      <c r="H16" s="55"/>
      <c r="I16" s="55"/>
      <c r="J16" s="55"/>
      <c r="K16" s="55"/>
      <c r="L16" s="52"/>
      <c r="M16" s="46"/>
      <c r="N16" s="47"/>
      <c r="O16" s="28"/>
      <c r="P16" s="14"/>
      <c r="Q16" s="14"/>
      <c r="R16" s="28"/>
      <c r="S16" s="61"/>
      <c r="T16" s="62"/>
      <c r="U16" s="28"/>
      <c r="V16" s="28"/>
      <c r="W16" s="28"/>
      <c r="X16" s="52"/>
    </row>
    <row r="17" spans="2:24" x14ac:dyDescent="0.25">
      <c r="B17" s="13">
        <v>8</v>
      </c>
      <c r="C17" s="148"/>
      <c r="D17" s="34"/>
      <c r="E17" s="68"/>
      <c r="F17" s="70"/>
      <c r="G17" s="47"/>
      <c r="H17" s="55"/>
      <c r="I17" s="55"/>
      <c r="J17" s="55"/>
      <c r="K17" s="55"/>
      <c r="L17" s="52"/>
      <c r="M17" s="46"/>
      <c r="N17" s="47"/>
      <c r="O17" s="28"/>
      <c r="P17" s="14"/>
      <c r="Q17" s="14"/>
      <c r="R17" s="28"/>
      <c r="S17" s="61"/>
      <c r="T17" s="62"/>
      <c r="U17" s="28"/>
      <c r="V17" s="28"/>
      <c r="W17" s="28"/>
      <c r="X17" s="52"/>
    </row>
    <row r="18" spans="2:24" x14ac:dyDescent="0.25">
      <c r="B18" s="13">
        <v>9</v>
      </c>
      <c r="C18" s="148"/>
      <c r="D18" s="34"/>
      <c r="E18" s="68"/>
      <c r="F18" s="70"/>
      <c r="G18" s="47"/>
      <c r="H18" s="55"/>
      <c r="I18" s="55"/>
      <c r="J18" s="55"/>
      <c r="K18" s="55"/>
      <c r="L18" s="52"/>
      <c r="M18" s="46"/>
      <c r="N18" s="47"/>
      <c r="O18" s="28"/>
      <c r="P18" s="14"/>
      <c r="Q18" s="14"/>
      <c r="R18" s="28"/>
      <c r="S18" s="61"/>
      <c r="T18" s="62"/>
      <c r="U18" s="28"/>
      <c r="V18" s="28"/>
      <c r="W18" s="28"/>
      <c r="X18" s="52"/>
    </row>
    <row r="19" spans="2:24" x14ac:dyDescent="0.25">
      <c r="B19" s="13">
        <v>10</v>
      </c>
      <c r="C19" s="148"/>
      <c r="D19" s="34"/>
      <c r="E19" s="68"/>
      <c r="F19" s="70"/>
      <c r="G19" s="47"/>
      <c r="H19" s="55"/>
      <c r="I19" s="55"/>
      <c r="J19" s="55"/>
      <c r="K19" s="55"/>
      <c r="L19" s="52"/>
      <c r="M19" s="46"/>
      <c r="N19" s="47"/>
      <c r="O19" s="28"/>
      <c r="P19" s="14"/>
      <c r="Q19" s="14"/>
      <c r="R19" s="28"/>
      <c r="S19" s="61"/>
      <c r="T19" s="62"/>
      <c r="U19" s="28"/>
      <c r="V19" s="28"/>
      <c r="W19" s="28"/>
      <c r="X19" s="52"/>
    </row>
    <row r="20" spans="2:24" x14ac:dyDescent="0.25">
      <c r="B20" s="13">
        <v>11</v>
      </c>
      <c r="C20" s="148"/>
      <c r="D20" s="34"/>
      <c r="E20" s="45"/>
      <c r="F20" s="46"/>
      <c r="G20" s="47"/>
      <c r="H20" s="55"/>
      <c r="I20" s="55"/>
      <c r="J20" s="55"/>
      <c r="K20" s="55"/>
      <c r="L20" s="52"/>
      <c r="M20" s="46"/>
      <c r="N20" s="47"/>
      <c r="O20" s="28"/>
      <c r="P20" s="14"/>
      <c r="Q20" s="14"/>
      <c r="R20" s="28"/>
      <c r="S20" s="61"/>
      <c r="T20" s="62"/>
      <c r="U20" s="28"/>
      <c r="V20" s="28"/>
      <c r="W20" s="28"/>
      <c r="X20" s="52"/>
    </row>
    <row r="21" spans="2:24" x14ac:dyDescent="0.25">
      <c r="B21" s="13">
        <v>12</v>
      </c>
      <c r="C21" s="148"/>
      <c r="D21" s="34"/>
      <c r="E21" s="45"/>
      <c r="F21" s="46"/>
      <c r="G21" s="47"/>
      <c r="H21" s="55"/>
      <c r="I21" s="55"/>
      <c r="J21" s="55"/>
      <c r="K21" s="55"/>
      <c r="L21" s="52"/>
      <c r="M21" s="46"/>
      <c r="N21" s="47"/>
      <c r="O21" s="28"/>
      <c r="P21" s="14"/>
      <c r="Q21" s="14"/>
      <c r="R21" s="28"/>
      <c r="S21" s="61"/>
      <c r="T21" s="62"/>
      <c r="U21" s="28"/>
      <c r="V21" s="28"/>
      <c r="W21" s="28"/>
      <c r="X21" s="52"/>
    </row>
    <row r="22" spans="2:24" x14ac:dyDescent="0.25">
      <c r="B22" s="13">
        <v>13</v>
      </c>
      <c r="C22" s="149"/>
      <c r="D22" s="34"/>
      <c r="E22" s="45"/>
      <c r="F22" s="46"/>
      <c r="G22" s="47"/>
      <c r="H22" s="55"/>
      <c r="I22" s="55"/>
      <c r="J22" s="55"/>
      <c r="K22" s="55"/>
      <c r="L22" s="52"/>
      <c r="M22" s="46"/>
      <c r="N22" s="47"/>
      <c r="O22" s="28"/>
      <c r="P22" s="14"/>
      <c r="Q22" s="14"/>
      <c r="R22" s="28"/>
      <c r="S22" s="61"/>
      <c r="T22" s="62"/>
      <c r="U22" s="28"/>
      <c r="V22" s="28"/>
      <c r="W22" s="28"/>
      <c r="X22" s="52"/>
    </row>
    <row r="23" spans="2:24" x14ac:dyDescent="0.25">
      <c r="B23" s="13">
        <v>14</v>
      </c>
      <c r="C23" s="38"/>
      <c r="D23" s="34"/>
      <c r="E23" s="45"/>
      <c r="F23" s="46"/>
      <c r="G23" s="47"/>
      <c r="H23" s="55"/>
      <c r="I23" s="55"/>
      <c r="J23" s="55"/>
      <c r="K23" s="55"/>
      <c r="L23" s="52"/>
      <c r="M23" s="46"/>
      <c r="N23" s="47"/>
      <c r="O23" s="28"/>
      <c r="P23" s="14"/>
      <c r="Q23" s="14"/>
      <c r="R23" s="28"/>
      <c r="S23" s="61"/>
      <c r="T23" s="62"/>
      <c r="U23" s="28"/>
      <c r="V23" s="28"/>
      <c r="W23" s="28"/>
      <c r="X23" s="52"/>
    </row>
    <row r="24" spans="2:24" x14ac:dyDescent="0.25">
      <c r="B24" s="31">
        <v>15</v>
      </c>
      <c r="C24" s="39"/>
      <c r="D24" s="35"/>
      <c r="E24" s="48"/>
      <c r="F24" s="49"/>
      <c r="G24" s="50"/>
      <c r="H24" s="56"/>
      <c r="I24" s="56"/>
      <c r="J24" s="56"/>
      <c r="K24" s="56"/>
      <c r="L24" s="53"/>
      <c r="M24" s="49"/>
      <c r="N24" s="50"/>
      <c r="O24" s="32"/>
      <c r="P24" s="76"/>
      <c r="Q24" s="76"/>
      <c r="R24" s="32"/>
      <c r="S24" s="63"/>
      <c r="T24" s="64"/>
      <c r="U24" s="32"/>
      <c r="V24" s="32"/>
      <c r="W24" s="32"/>
      <c r="X24" s="53"/>
    </row>
    <row r="25" spans="2:24" s="5" customFormat="1" x14ac:dyDescent="0.25">
      <c r="B25" s="77"/>
      <c r="D25" s="4"/>
      <c r="E25" s="4"/>
      <c r="P25" s="77"/>
      <c r="Q25" s="77"/>
    </row>
    <row r="26" spans="2:24" s="5" customFormat="1" x14ac:dyDescent="0.25">
      <c r="B26" s="77"/>
      <c r="D26" s="4"/>
      <c r="E26" s="4"/>
      <c r="P26" s="77"/>
      <c r="Q26" s="77"/>
    </row>
    <row r="27" spans="2:24" s="5" customFormat="1" x14ac:dyDescent="0.25">
      <c r="B27" s="77"/>
      <c r="D27" s="4"/>
      <c r="E27" s="4"/>
      <c r="P27" s="77"/>
      <c r="Q27" s="77"/>
    </row>
    <row r="28" spans="2:24" s="5" customFormat="1" x14ac:dyDescent="0.25">
      <c r="B28" s="77"/>
      <c r="D28" s="4"/>
      <c r="E28" s="4"/>
      <c r="P28" s="77"/>
      <c r="Q28" s="77"/>
    </row>
    <row r="29" spans="2:24" x14ac:dyDescent="0.25">
      <c r="B29" s="20"/>
    </row>
    <row r="30" spans="2:24" x14ac:dyDescent="0.25">
      <c r="B30" s="20"/>
    </row>
    <row r="31" spans="2:24" x14ac:dyDescent="0.25">
      <c r="B31" s="20"/>
    </row>
  </sheetData>
  <mergeCells count="22">
    <mergeCell ref="D8:D9"/>
    <mergeCell ref="C8:C9"/>
    <mergeCell ref="B8:B9"/>
    <mergeCell ref="B3:C3"/>
    <mergeCell ref="B5:C5"/>
    <mergeCell ref="B4:C4"/>
    <mergeCell ref="U8:U9"/>
    <mergeCell ref="V8:V9"/>
    <mergeCell ref="W8:W9"/>
    <mergeCell ref="D2:G2"/>
    <mergeCell ref="B2:C2"/>
    <mergeCell ref="O8:O9"/>
    <mergeCell ref="P8:P9"/>
    <mergeCell ref="Q8:Q9"/>
    <mergeCell ref="R8:R9"/>
    <mergeCell ref="S8:T8"/>
    <mergeCell ref="E8:G8"/>
    <mergeCell ref="H8:H9"/>
    <mergeCell ref="I8:I9"/>
    <mergeCell ref="J8:J9"/>
    <mergeCell ref="K8:K9"/>
    <mergeCell ref="L8:N8"/>
  </mergeCells>
  <conditionalFormatting sqref="Q10:Q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{B2506F36-69BE-474D-A89D-DA89C0314D40}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506F36-69BE-474D-A89D-DA89C0314D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Q10:Q14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O2" sqref="O2"/>
    </sheetView>
  </sheetViews>
  <sheetFormatPr defaultRowHeight="13.8" x14ac:dyDescent="0.25"/>
  <cols>
    <col min="1" max="1" width="8.88671875" style="5"/>
    <col min="2" max="2" width="5.77734375" style="1" customWidth="1"/>
    <col min="3" max="3" width="36.88671875" style="1" customWidth="1"/>
    <col min="4" max="4" width="19.109375" style="1" customWidth="1"/>
    <col min="5" max="5" width="15.77734375" style="1" customWidth="1"/>
    <col min="6" max="6" width="11" style="1" customWidth="1"/>
    <col min="7" max="7" width="9.21875" style="1" customWidth="1"/>
    <col min="8" max="8" width="8.88671875" style="1"/>
    <col min="9" max="9" width="10.33203125" style="1" customWidth="1"/>
    <col min="10" max="10" width="9.88671875" style="1" customWidth="1"/>
    <col min="11" max="11" width="8.88671875" style="1"/>
    <col min="12" max="12" width="12.21875" style="1" customWidth="1"/>
    <col min="13" max="13" width="11.33203125" style="1" customWidth="1"/>
    <col min="14" max="14" width="13" style="1" customWidth="1"/>
    <col min="15" max="15" width="8.88671875" style="5"/>
    <col min="16" max="16384" width="8.88671875" style="1"/>
  </cols>
  <sheetData>
    <row r="1" spans="2:14" s="5" customFormat="1" x14ac:dyDescent="0.25"/>
    <row r="2" spans="2:14" s="5" customFormat="1" x14ac:dyDescent="0.25"/>
    <row r="3" spans="2:14" s="5" customFormat="1" ht="22.8" x14ac:dyDescent="0.4">
      <c r="B3" s="118" t="s">
        <v>67</v>
      </c>
    </row>
    <row r="4" spans="2:14" s="5" customFormat="1" x14ac:dyDescent="0.25"/>
    <row r="5" spans="2:14" ht="27.6" customHeight="1" x14ac:dyDescent="0.25">
      <c r="B5" s="191" t="s">
        <v>0</v>
      </c>
      <c r="C5" s="191" t="s">
        <v>1</v>
      </c>
      <c r="D5" s="191" t="s">
        <v>2</v>
      </c>
      <c r="E5" s="203" t="s">
        <v>71</v>
      </c>
      <c r="F5" s="197" t="s">
        <v>70</v>
      </c>
      <c r="G5" s="199" t="s">
        <v>23</v>
      </c>
      <c r="H5" s="201" t="s">
        <v>55</v>
      </c>
      <c r="I5" s="202"/>
      <c r="J5" s="169" t="s">
        <v>56</v>
      </c>
      <c r="K5" s="169" t="s">
        <v>57</v>
      </c>
      <c r="L5" s="195" t="s">
        <v>58</v>
      </c>
      <c r="M5" s="106" t="s">
        <v>59</v>
      </c>
      <c r="N5" s="116" t="s">
        <v>60</v>
      </c>
    </row>
    <row r="6" spans="2:14" x14ac:dyDescent="0.25">
      <c r="B6" s="191"/>
      <c r="C6" s="191"/>
      <c r="D6" s="191"/>
      <c r="E6" s="204"/>
      <c r="F6" s="198"/>
      <c r="G6" s="200"/>
      <c r="H6" s="110" t="s">
        <v>61</v>
      </c>
      <c r="I6" s="111" t="s">
        <v>62</v>
      </c>
      <c r="J6" s="194"/>
      <c r="K6" s="194"/>
      <c r="L6" s="196"/>
      <c r="M6" s="107" t="s">
        <v>68</v>
      </c>
      <c r="N6" s="117" t="s">
        <v>69</v>
      </c>
    </row>
    <row r="7" spans="2:14" ht="39" customHeight="1" x14ac:dyDescent="0.25">
      <c r="B7" s="108">
        <v>1</v>
      </c>
      <c r="C7" s="109" t="s">
        <v>45</v>
      </c>
      <c r="D7" s="112" t="s">
        <v>46</v>
      </c>
      <c r="E7" s="113">
        <v>15</v>
      </c>
      <c r="F7" s="113"/>
      <c r="G7" s="54"/>
      <c r="H7" s="51"/>
      <c r="I7" s="44"/>
      <c r="J7" s="54"/>
      <c r="K7" s="54"/>
      <c r="L7" s="54"/>
      <c r="M7" s="54"/>
      <c r="N7" s="54"/>
    </row>
    <row r="8" spans="2:14" ht="39" customHeight="1" x14ac:dyDescent="0.25">
      <c r="B8" s="25">
        <v>2</v>
      </c>
      <c r="C8" s="26" t="s">
        <v>47</v>
      </c>
      <c r="D8" s="40" t="s">
        <v>48</v>
      </c>
      <c r="E8" s="114">
        <v>13</v>
      </c>
      <c r="F8" s="114"/>
      <c r="G8" s="55"/>
      <c r="H8" s="52"/>
      <c r="I8" s="47"/>
      <c r="J8" s="55"/>
      <c r="K8" s="55"/>
      <c r="L8" s="55"/>
      <c r="M8" s="55"/>
      <c r="N8" s="55"/>
    </row>
    <row r="9" spans="2:14" ht="18" customHeight="1" x14ac:dyDescent="0.25">
      <c r="B9" s="25">
        <v>3</v>
      </c>
      <c r="C9" s="26" t="s">
        <v>49</v>
      </c>
      <c r="D9" s="40" t="s">
        <v>50</v>
      </c>
      <c r="E9" s="114">
        <v>-5</v>
      </c>
      <c r="F9" s="114"/>
      <c r="G9" s="55"/>
      <c r="H9" s="52"/>
      <c r="I9" s="47"/>
      <c r="J9" s="55"/>
      <c r="K9" s="55"/>
      <c r="L9" s="55"/>
      <c r="M9" s="55"/>
      <c r="N9" s="55"/>
    </row>
    <row r="10" spans="2:14" ht="18" customHeight="1" x14ac:dyDescent="0.25">
      <c r="B10" s="29">
        <v>4</v>
      </c>
      <c r="C10" s="30" t="s">
        <v>51</v>
      </c>
      <c r="D10" s="40" t="s">
        <v>52</v>
      </c>
      <c r="E10" s="114">
        <v>4</v>
      </c>
      <c r="F10" s="114"/>
      <c r="G10" s="55"/>
      <c r="H10" s="52"/>
      <c r="I10" s="47"/>
      <c r="J10" s="55"/>
      <c r="K10" s="55"/>
      <c r="L10" s="55"/>
      <c r="M10" s="55"/>
      <c r="N10" s="55"/>
    </row>
    <row r="11" spans="2:14" ht="18" customHeight="1" x14ac:dyDescent="0.25">
      <c r="B11" s="37">
        <v>5</v>
      </c>
      <c r="C11" s="33" t="s">
        <v>53</v>
      </c>
      <c r="D11" s="36" t="s">
        <v>54</v>
      </c>
      <c r="E11" s="114">
        <v>-165</v>
      </c>
      <c r="F11" s="114"/>
      <c r="G11" s="55"/>
      <c r="H11" s="52"/>
      <c r="I11" s="47"/>
      <c r="J11" s="55"/>
      <c r="K11" s="55"/>
      <c r="L11" s="55"/>
      <c r="M11" s="55"/>
      <c r="N11" s="55"/>
    </row>
    <row r="12" spans="2:14" ht="18" customHeight="1" x14ac:dyDescent="0.25">
      <c r="B12" s="13">
        <v>6</v>
      </c>
      <c r="C12" s="75"/>
      <c r="D12" s="34"/>
      <c r="E12" s="114">
        <v>-11</v>
      </c>
      <c r="F12" s="114"/>
      <c r="G12" s="55"/>
      <c r="H12" s="52"/>
      <c r="I12" s="47"/>
      <c r="J12" s="55"/>
      <c r="K12" s="55"/>
      <c r="L12" s="55"/>
      <c r="M12" s="55"/>
      <c r="N12" s="55"/>
    </row>
    <row r="13" spans="2:14" ht="18" customHeight="1" x14ac:dyDescent="0.25">
      <c r="B13" s="13">
        <v>7</v>
      </c>
      <c r="C13" s="75"/>
      <c r="D13" s="34"/>
      <c r="E13" s="114">
        <v>-5</v>
      </c>
      <c r="F13" s="114"/>
      <c r="G13" s="55"/>
      <c r="H13" s="52"/>
      <c r="I13" s="47"/>
      <c r="J13" s="55"/>
      <c r="K13" s="55"/>
      <c r="L13" s="55"/>
      <c r="M13" s="55"/>
      <c r="N13" s="55"/>
    </row>
    <row r="14" spans="2:14" ht="18" customHeight="1" x14ac:dyDescent="0.25">
      <c r="B14" s="13">
        <v>8</v>
      </c>
      <c r="C14" s="38"/>
      <c r="D14" s="34"/>
      <c r="E14" s="114">
        <v>-6</v>
      </c>
      <c r="F14" s="114"/>
      <c r="G14" s="55"/>
      <c r="H14" s="52"/>
      <c r="I14" s="47"/>
      <c r="J14" s="55"/>
      <c r="K14" s="55"/>
      <c r="L14" s="55"/>
      <c r="M14" s="55"/>
      <c r="N14" s="55"/>
    </row>
    <row r="15" spans="2:14" ht="18" customHeight="1" x14ac:dyDescent="0.25">
      <c r="B15" s="13">
        <v>9</v>
      </c>
      <c r="C15" s="38"/>
      <c r="D15" s="34"/>
      <c r="E15" s="114"/>
      <c r="F15" s="114"/>
      <c r="G15" s="55"/>
      <c r="H15" s="52"/>
      <c r="I15" s="47"/>
      <c r="J15" s="55"/>
      <c r="K15" s="55"/>
      <c r="L15" s="55"/>
      <c r="M15" s="55"/>
      <c r="N15" s="55"/>
    </row>
    <row r="16" spans="2:14" ht="18" customHeight="1" x14ac:dyDescent="0.25">
      <c r="B16" s="13">
        <v>10</v>
      </c>
      <c r="C16" s="38"/>
      <c r="D16" s="34"/>
      <c r="E16" s="114"/>
      <c r="F16" s="114"/>
      <c r="G16" s="55"/>
      <c r="H16" s="52"/>
      <c r="I16" s="47"/>
      <c r="J16" s="55"/>
      <c r="K16" s="55"/>
      <c r="L16" s="55"/>
      <c r="M16" s="55"/>
      <c r="N16" s="55"/>
    </row>
    <row r="17" spans="2:14" ht="18" customHeight="1" x14ac:dyDescent="0.25">
      <c r="B17" s="13">
        <v>11</v>
      </c>
      <c r="C17" s="38"/>
      <c r="D17" s="34"/>
      <c r="E17" s="114"/>
      <c r="F17" s="114"/>
      <c r="G17" s="55"/>
      <c r="H17" s="52"/>
      <c r="I17" s="47"/>
      <c r="J17" s="55"/>
      <c r="K17" s="55"/>
      <c r="L17" s="55"/>
      <c r="M17" s="55"/>
      <c r="N17" s="55"/>
    </row>
    <row r="18" spans="2:14" ht="18" customHeight="1" x14ac:dyDescent="0.25">
      <c r="B18" s="31">
        <v>12</v>
      </c>
      <c r="C18" s="39"/>
      <c r="D18" s="35"/>
      <c r="E18" s="115"/>
      <c r="F18" s="115"/>
      <c r="G18" s="56"/>
      <c r="H18" s="53"/>
      <c r="I18" s="50"/>
      <c r="J18" s="56"/>
      <c r="K18" s="56"/>
      <c r="L18" s="56"/>
      <c r="M18" s="56"/>
      <c r="N18" s="56"/>
    </row>
    <row r="19" spans="2:14" s="5" customFormat="1" x14ac:dyDescent="0.25"/>
    <row r="20" spans="2:14" s="5" customFormat="1" x14ac:dyDescent="0.25"/>
  </sheetData>
  <mergeCells count="10">
    <mergeCell ref="J5:J6"/>
    <mergeCell ref="K5:K6"/>
    <mergeCell ref="L5:L6"/>
    <mergeCell ref="F5:F6"/>
    <mergeCell ref="B5:B6"/>
    <mergeCell ref="C5:C6"/>
    <mergeCell ref="D5:D6"/>
    <mergeCell ref="E5:E6"/>
    <mergeCell ref="G5:G6"/>
    <mergeCell ref="H5:I5"/>
  </mergeCells>
  <conditionalFormatting sqref="E7:F1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{5C097B75-F0E3-4CC8-9C3B-CDD8E347E588}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097B75-F0E3-4CC8-9C3B-CDD8E347E5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E7:F18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Bảng kế hoạch đặt hàng</vt:lpstr>
      <vt:lpstr>Quản lý Mua LK-Hàng hóa</vt:lpstr>
      <vt:lpstr>Bảng Cân đối vật tư đặt hàng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2026-03-31T07:01:30Z</dcterms:modified>
</cp:coreProperties>
</file>